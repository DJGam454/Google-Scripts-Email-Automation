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Leads" sheetId="1" state="visible" r:id="rId1"/>
    <sheet name="AIResearch" sheetId="2" state="visible" r:id="rId2"/>
    <sheet name="Services" sheetId="3" state="visible" r:id="rId3"/>
    <sheet name="Templates" sheetId="4" state="visible" r:id="rId4"/>
    <sheet name="Themes" sheetId="5" state="visible" r:id="rId5"/>
    <sheet name="Config" sheetId="6" state="visible" r:id="rId6"/>
    <sheet name="Preview" sheetId="7" state="visible" r:id="rId7"/>
    <sheet name="ActivityLog" sheetId="8" state="visible" r:id="rId8"/>
    <sheet name="AIConfig" sheetId="9" state="visible" r:id="rId9"/>
    <sheet name="Dashboard" sheetId="10" state="visible" r:id="rId10"/>
  </sheets>
  <definedNames/>
  <calcPr calcId="124519" fullCalcOnLoad="1"/>
</workbook>
</file>

<file path=xl/styles.xml><?xml version="1.0" encoding="utf-8"?>
<styleSheet xmlns="http://schemas.openxmlformats.org/spreadsheetml/2006/main">
  <numFmts count="3">
    <numFmt numFmtId="164" formatCode="m/d/yyyy h:mm:ss"/>
    <numFmt numFmtId="165" formatCode="dd/mm/yyyy hh:mm:ss"/>
    <numFmt numFmtId="166" formatCode="0.0%"/>
  </numFmts>
  <fonts count="18">
    <font>
      <name val="Arial"/>
      <color rgb="FF000000"/>
      <sz val="10"/>
      <scheme val="minor"/>
    </font>
    <font>
      <name val="Arial"/>
      <b val="1"/>
      <color theme="1"/>
      <scheme val="minor"/>
    </font>
    <font>
      <name val="Arial"/>
      <color theme="1"/>
      <scheme val="minor"/>
    </font>
    <font>
      <color rgb="FF0000FF"/>
      <u val="single"/>
    </font>
    <font>
      <color rgb="FF0000FF"/>
      <u val="single"/>
    </font>
    <font>
      <color rgb="FF0000FF"/>
      <u val="single"/>
    </font>
    <font>
      <name val="Arial"/>
      <color theme="1"/>
    </font>
    <font>
      <name val="Arial"/>
      <b val="1"/>
      <color rgb="FFFFFFFF"/>
      <sz val="20"/>
    </font>
    <font>
      <name val="Arial"/>
      <color theme="1"/>
      <u val="single"/>
      <scheme val="minor"/>
    </font>
    <font>
      <name val="Arial"/>
      <color rgb="FF64748B"/>
      <sz val="10"/>
    </font>
    <font>
      <name val="Arial"/>
      <color theme="1"/>
      <sz val="10"/>
    </font>
    <font>
      <name val="Arial"/>
      <b val="1"/>
      <color rgb="FFFFFFFF"/>
      <sz val="10"/>
    </font>
    <font>
      <name val="Arial"/>
      <b val="1"/>
      <color rgb="FF334155"/>
      <sz val="10"/>
    </font>
    <font>
      <name val="Arial"/>
      <b val="1"/>
      <color rgb="FF64748B"/>
      <sz val="10"/>
    </font>
    <font>
      <name val="Arial"/>
      <b val="1"/>
      <color rgb="FF0F172A"/>
      <sz val="18"/>
    </font>
    <font>
      <name val="Arial"/>
      <b val="1"/>
      <color rgb="FF0F172A"/>
      <sz val="16"/>
    </font>
    <font>
      <name val="Arial"/>
      <b val="1"/>
      <color theme="1"/>
      <sz val="10"/>
    </font>
    <font>
      <b val="1"/>
    </font>
  </fonts>
  <fills count="6">
    <fill>
      <patternFill/>
    </fill>
    <fill>
      <patternFill patternType="lightGray"/>
    </fill>
    <fill>
      <patternFill patternType="solid">
        <fgColor rgb="FF0F172A"/>
        <bgColor rgb="FF0F172A"/>
      </patternFill>
    </fill>
    <fill>
      <patternFill patternType="solid">
        <fgColor rgb="FFF8FAFC"/>
        <bgColor rgb="FFF8FAFC"/>
      </patternFill>
    </fill>
    <fill>
      <patternFill patternType="solid">
        <fgColor rgb="FFFFFFFF"/>
        <bgColor rgb="FFFFFFFF"/>
      </patternFill>
    </fill>
    <fill>
      <patternFill patternType="solid">
        <fgColor rgb="FF334155"/>
        <bgColor rgb="FF334155"/>
      </patternFill>
    </fill>
  </fills>
  <borders count="2">
    <border/>
    <border>
      <left style="thin">
        <color rgb="FFE2E8F0"/>
      </left>
      <right style="thin">
        <color rgb="FFE2E8F0"/>
      </right>
      <top style="thin">
        <color rgb="FFE2E8F0"/>
      </top>
      <bottom style="thin">
        <color rgb="FFE2E8F0"/>
      </bottom>
    </border>
  </borders>
  <cellStyleXfs count="1">
    <xf numFmtId="0" fontId="0" fillId="0" borderId="0"/>
  </cellStyleXfs>
  <cellXfs count="55">
    <xf numFmtId="0" fontId="0" fillId="0" borderId="0" applyAlignment="1" pivotButton="0" quotePrefix="0" xfId="0">
      <alignment vertical="bottom"/>
    </xf>
    <xf numFmtId="0" fontId="1" fillId="0" borderId="0" applyAlignment="1" pivotButton="0" quotePrefix="0" xfId="0">
      <alignment horizontal="center"/>
    </xf>
    <xf numFmtId="0" fontId="1" fillId="0" borderId="0" applyAlignment="1" pivotButton="0" quotePrefix="0" xfId="0">
      <alignment horizontal="right"/>
    </xf>
    <xf numFmtId="0" fontId="1" fillId="0" borderId="0" pivotButton="0" quotePrefix="0" xfId="0"/>
    <xf numFmtId="0" fontId="2" fillId="0" borderId="0" applyAlignment="1" pivotButton="0" quotePrefix="0" xfId="0">
      <alignment horizontal="right"/>
    </xf>
    <xf numFmtId="0" fontId="2" fillId="0" borderId="0" pivotButton="0" quotePrefix="0" xfId="0"/>
    <xf numFmtId="0" fontId="2" fillId="0" borderId="0" pivotButton="0" quotePrefix="0" xfId="0"/>
    <xf numFmtId="0" fontId="3" fillId="0" borderId="0" pivotButton="0" quotePrefix="0" xfId="0"/>
    <xf numFmtId="164" fontId="2" fillId="0" borderId="0" pivotButton="0" quotePrefix="0" xfId="0"/>
    <xf numFmtId="0" fontId="4" fillId="0" borderId="0" pivotButton="0" quotePrefix="0" xfId="0"/>
    <xf numFmtId="14" fontId="2" fillId="0" borderId="0" pivotButton="0" quotePrefix="0" xfId="0"/>
    <xf numFmtId="165" fontId="2" fillId="0" borderId="0" pivotButton="0" quotePrefix="0" xfId="0"/>
    <xf numFmtId="0" fontId="5" fillId="0" borderId="0" applyAlignment="1" pivotButton="0" quotePrefix="0" xfId="0">
      <alignment horizontal="right"/>
    </xf>
    <xf numFmtId="0" fontId="6" fillId="0" borderId="0" applyAlignment="1" pivotButton="0" quotePrefix="0" xfId="0">
      <alignment vertical="bottom"/>
    </xf>
    <xf numFmtId="0" fontId="6" fillId="0" borderId="0" applyAlignment="1" pivotButton="0" quotePrefix="0" xfId="0">
      <alignment vertical="bottom"/>
    </xf>
    <xf numFmtId="0" fontId="6" fillId="0" borderId="0" applyAlignment="1" pivotButton="0" quotePrefix="0" xfId="0">
      <alignment horizontal="right" vertical="bottom"/>
    </xf>
    <xf numFmtId="0" fontId="6" fillId="0" borderId="0" applyAlignment="1" pivotButton="0" quotePrefix="0" xfId="0">
      <alignment horizontal="right" vertical="bottom"/>
    </xf>
    <xf numFmtId="0" fontId="1" fillId="0" borderId="0" applyAlignment="1" pivotButton="0" quotePrefix="0" xfId="0">
      <alignment horizontal="center" vertical="center"/>
    </xf>
    <xf numFmtId="164" fontId="2" fillId="0" borderId="0" applyAlignment="1" pivotButton="0" quotePrefix="0" xfId="0">
      <alignment vertical="center"/>
    </xf>
    <xf numFmtId="0" fontId="2" fillId="0" borderId="0" applyAlignment="1" pivotButton="0" quotePrefix="0" xfId="0">
      <alignment vertical="center"/>
    </xf>
    <xf numFmtId="0" fontId="7" fillId="2" borderId="0" applyAlignment="1" pivotButton="0" quotePrefix="0" xfId="0">
      <alignment vertical="center" wrapText="1"/>
    </xf>
    <xf numFmtId="0" fontId="8" fillId="0" borderId="0" applyAlignment="1" pivotButton="0" quotePrefix="0" xfId="0">
      <alignment vertical="center"/>
    </xf>
    <xf numFmtId="0" fontId="9" fillId="3" borderId="0" applyAlignment="1" pivotButton="0" quotePrefix="0" xfId="0">
      <alignment vertical="center" wrapText="1"/>
    </xf>
    <xf numFmtId="0" fontId="10" fillId="0" borderId="0" applyAlignment="1" pivotButton="0" quotePrefix="0" xfId="0">
      <alignment vertical="center" wrapText="1"/>
    </xf>
    <xf numFmtId="0" fontId="2" fillId="0" borderId="0" applyAlignment="1" pivotButton="0" quotePrefix="0" xfId="0">
      <alignment vertical="center"/>
    </xf>
    <xf numFmtId="0" fontId="11" fillId="2" borderId="0" applyAlignment="1" pivotButton="0" quotePrefix="0" xfId="0">
      <alignment vertical="center" wrapText="1"/>
    </xf>
    <xf numFmtId="0" fontId="11" fillId="2" borderId="0" applyAlignment="1" pivotButton="0" quotePrefix="0" xfId="0">
      <alignment vertical="center" wrapText="1"/>
    </xf>
    <xf numFmtId="0" fontId="12" fillId="4" borderId="1" applyAlignment="1" pivotButton="0" quotePrefix="0" xfId="0">
      <alignment vertical="center" wrapText="1"/>
    </xf>
    <xf numFmtId="0" fontId="10" fillId="4" borderId="1" applyAlignment="1" pivotButton="0" quotePrefix="0" xfId="0">
      <alignment vertical="center" wrapText="1"/>
    </xf>
    <xf numFmtId="0" fontId="2" fillId="0" borderId="0" pivotButton="0" quotePrefix="0" xfId="0"/>
    <xf numFmtId="0" fontId="10" fillId="4" borderId="1" applyAlignment="1" pivotButton="0" quotePrefix="0" xfId="0">
      <alignment vertical="center" wrapText="1"/>
    </xf>
    <xf numFmtId="0" fontId="10" fillId="0" borderId="0" applyAlignment="1" pivotButton="0" quotePrefix="0" xfId="0">
      <alignment vertical="center" wrapText="1"/>
    </xf>
    <xf numFmtId="0" fontId="13" fillId="4" borderId="1" applyAlignment="1" pivotButton="0" quotePrefix="0" xfId="0">
      <alignment horizontal="center" vertical="center" wrapText="1"/>
    </xf>
    <xf numFmtId="0" fontId="14" fillId="4" borderId="1" applyAlignment="1" pivotButton="0" quotePrefix="0" xfId="0">
      <alignment horizontal="center" vertical="center" wrapText="1"/>
    </xf>
    <xf numFmtId="164" fontId="2"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xf>
    <xf numFmtId="166" fontId="14" fillId="4" borderId="1" applyAlignment="1" pivotButton="0" quotePrefix="0" xfId="0">
      <alignment horizontal="center" vertical="center" wrapText="1"/>
    </xf>
    <xf numFmtId="0" fontId="13" fillId="3" borderId="1" applyAlignment="1" pivotButton="0" quotePrefix="0" xfId="0">
      <alignment horizontal="center" vertical="center" wrapText="1"/>
    </xf>
    <xf numFmtId="0" fontId="10" fillId="3" borderId="1" applyAlignment="1" pivotButton="0" quotePrefix="0" xfId="0">
      <alignment vertical="center" wrapText="1"/>
    </xf>
    <xf numFmtId="0" fontId="15" fillId="3" borderId="1" applyAlignment="1" pivotButton="0" quotePrefix="0" xfId="0">
      <alignment horizontal="center" vertical="center" wrapText="1"/>
    </xf>
    <xf numFmtId="0" fontId="11" fillId="5" borderId="0" applyAlignment="1" pivotButton="0" quotePrefix="0" xfId="0">
      <alignment vertical="center" wrapText="1"/>
    </xf>
    <xf numFmtId="0" fontId="10" fillId="0" borderId="1" applyAlignment="1" pivotButton="0" quotePrefix="0" xfId="0">
      <alignment vertical="center" wrapText="1"/>
    </xf>
    <xf numFmtId="0" fontId="10" fillId="0" borderId="1" applyAlignment="1" pivotButton="0" quotePrefix="0" xfId="0">
      <alignment vertical="center" wrapText="1"/>
    </xf>
    <xf numFmtId="166" fontId="10" fillId="0" borderId="1" applyAlignment="1" pivotButton="0" quotePrefix="0" xfId="0">
      <alignment vertical="center" wrapText="1"/>
    </xf>
    <xf numFmtId="0" fontId="11" fillId="5" borderId="0" applyAlignment="1" pivotButton="0" quotePrefix="0" xfId="0">
      <alignment horizontal="center"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center" wrapText="1"/>
    </xf>
    <xf numFmtId="166" fontId="16" fillId="3" borderId="1" applyAlignment="1" pivotButton="0" quotePrefix="0" xfId="0">
      <alignment horizontal="center" vertical="center" wrapText="1"/>
    </xf>
    <xf numFmtId="164" fontId="10" fillId="0" borderId="0" applyAlignment="1" pivotButton="0" quotePrefix="0" xfId="0">
      <alignment vertical="center" wrapText="1"/>
    </xf>
    <xf numFmtId="0" fontId="0" fillId="0" borderId="0" pivotButton="0" quotePrefix="0" xfId="0"/>
    <xf numFmtId="0" fontId="17" fillId="0" borderId="0" pivotButton="0" quotePrefix="0" xfId="0"/>
  </cellXfs>
  <cellStyles count="1">
    <cellStyle name="Normal" xfId="0" builtinId="0"/>
  </cellStyles>
  <dxfs count="7">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color rgb="FF166534"/>
      </font>
      <fill>
        <patternFill patternType="solid">
          <fgColor rgb="FFDCFCE7"/>
          <bgColor rgb="FFDCFCE7"/>
        </patternFill>
      </fill>
      <border/>
    </dxf>
    <dxf>
      <font>
        <color rgb="FF991B1B"/>
      </font>
      <fill>
        <patternFill patternType="solid">
          <fgColor rgb="FFFEE2E2"/>
          <bgColor rgb="FFFEE2E2"/>
        </patternFill>
      </fill>
      <border/>
    </dxf>
  </dxfs>
  <tableStyles count="1" defaultTableStyle="TableStyleMedium9" defaultPivotStyle="PivotStyleLight16">
    <tableStyle name="ActivityLog-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Table1" displayName="Table1" ref="A1:K212" headerRowCount="1">
  <tableColumns count="11">
    <tableColumn id="1" name="Timestamp"/>
    <tableColumn id="2" name="Lead ID"/>
    <tableColumn id="3" name="Email"/>
    <tableColumn id="4" name="Action"/>
    <tableColumn id="5" name="Campaign"/>
    <tableColumn id="6" name="Service"/>
    <tableColumn id="7" name="Status"/>
    <tableColumn id="8" name="Gmail Message ID"/>
    <tableColumn id="9" name="Gmail Thread ID"/>
    <tableColumn id="10" name="Result"/>
    <tableColumn id="11" name="Error"/>
  </tableColumns>
  <tableStyleInfo name="ActivityLog-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mailto:divyantiwariuni4@gmail.com" TargetMode="External" Id="rId1" /><Relationship Type="http://schemas.openxmlformats.org/officeDocument/2006/relationships/hyperlink" Target="https://djgam454.github.io/Portfolio-Website/" TargetMode="External" Id="rId2" /><Relationship Type="http://schemas.openxmlformats.org/officeDocument/2006/relationships/hyperlink" Target="mailto:aryandivyan@gmail.com" TargetMode="External" Id="rId3" /><Relationship Type="http://schemas.openxmlformats.org/officeDocument/2006/relationships/hyperlink" Target="https://mchemist.com/" TargetMode="External" Id="rId4" /><Relationship Type="http://schemas.openxmlformats.org/officeDocument/2006/relationships/hyperlink" Target="https://www.dynamisers.com/" TargetMode="External" Id="rId5" /><Relationship Type="http://schemas.openxmlformats.org/officeDocument/2006/relationships/hyperlink" Target="https://openai.com/" TargetMode="External" Id="rId6" /><Relationship Type="http://schemas.openxmlformats.org/officeDocument/2006/relationships/hyperlink" Target="https://kartik.com/" TargetMode="External" Id="rId7" /><Relationship Type="http://schemas.openxmlformats.org/officeDocument/2006/relationships/hyperlink" Target="mailto:forhek496@gmail.com" TargetMode="External" Id="rId8" /><Relationship Type="http://schemas.openxmlformats.org/officeDocument/2006/relationships/hyperlink" Target="https://bluebottlecoffee.com/" TargetMode="External" Id="rId9" /><Relationship Type="http://schemas.openxmlformats.org/officeDocument/2006/relationships/hyperlink" Target="mailto:anshxname@gmail.com" TargetMode="External" Id="rId10" /><Relationship Type="http://schemas.openxmlformats.org/officeDocument/2006/relationships/hyperlink" Target="https://www.notion.so/" TargetMode="External" Id="rId11" /><Relationship Type="http://schemas.openxmlformats.org/officeDocument/2006/relationships/hyperlink" Target="mailto:pcshado01@gmail.com" TargetMode="External" Id="rId12" /><Relationship Type="http://schemas.openxmlformats.org/officeDocument/2006/relationships/hyperlink" Target="https://www.canva.com/" TargetMode="External" Id="rId13" /><Relationship Type="http://schemas.openxmlformats.org/officeDocument/2006/relationships/hyperlink" Target="mailto:robuxcaedd@gmail.com" TargetMode="External" Id="rId14" /><Relationship Type="http://schemas.openxmlformats.org/officeDocument/2006/relationships/hyperlink" Target="https://zapier.com/" TargetMode="External" Id="rId15" /><Relationship Type="http://schemas.openxmlformats.org/officeDocument/2006/relationships/hyperlink" Target="mailto:nddunidnuenei@gmail.com" TargetMode="External" Id="rId16" /><Relationship Type="http://schemas.openxmlformats.org/officeDocument/2006/relationships/hyperlink" Target="https://www.figma.com/" TargetMode="External" Id="rId17" /><Relationship Type="http://schemas.openxmlformats.org/officeDocument/2006/relationships/hyperlink" Target="mailto:muscelstation@gmail.com" TargetMode="External" Id="rId18" /><Relationship Type="http://schemas.openxmlformats.org/officeDocument/2006/relationships/hyperlink" Target="https://www.hubspot.com/" TargetMode="External" Id="rId19" /><Relationship Type="http://schemas.openxmlformats.org/officeDocument/2006/relationships/hyperlink" Target="mailto:gympremium001@gmail.com" TargetMode="External" Id="rId20" /><Relationship Type="http://schemas.openxmlformats.org/officeDocument/2006/relationships/hyperlink" Target="https://webflow.com/" TargetMode="External" Id="rId21" /><Relationship Type="http://schemas.openxmlformats.org/officeDocument/2006/relationships/hyperlink" Target="mailto:kartikdynamisers@gmail.com" TargetMode="External" Id="rId22" /><Relationship Type="http://schemas.openxmlformats.org/officeDocument/2006/relationships/hyperlink" Target="https://ahrefs.com/" TargetMode="External" Id="rId23" /><Relationship Type="http://schemas.openxmlformats.org/officeDocument/2006/relationships/hyperlink" Target="mailto:surajmukul08@gmail.com" TargetMode="External" Id="rId24" /><Relationship Type="http://schemas.openxmlformats.org/officeDocument/2006/relationships/hyperlink" Target="https://www.semrush.com/" TargetMode="External" Id="rId25" /><Relationship Type="http://schemas.openxmlformats.org/officeDocument/2006/relationships/hyperlink" Target="mailto:forstuydy@gmail.com" TargetMode="External" Id="rId26" /><Relationship Type="http://schemas.openxmlformats.org/officeDocument/2006/relationships/hyperlink" Target="https://clickup.com/" TargetMode="External" Id="rId27" /></Relationships>
</file>

<file path=xl/worksheets/_rels/sheet2.xml.rels><Relationships xmlns="http://schemas.openxmlformats.org/package/2006/relationships"><Relationship Type="http://schemas.openxmlformats.org/officeDocument/2006/relationships/hyperlink" Target="https://djgam454.github.io/Portfolio-Website/" TargetMode="External" Id="rId1" /><Relationship Type="http://schemas.openxmlformats.org/officeDocument/2006/relationships/hyperlink" Target="https://www.dynamisers.com/" TargetMode="External" Id="rId2" /><Relationship Type="http://schemas.openxmlformats.org/officeDocument/2006/relationships/hyperlink" Target="https://www.dynamisers.com/" TargetMode="External" Id="rId3" /><Relationship Type="http://schemas.openxmlformats.org/officeDocument/2006/relationships/hyperlink" Target="https://openai.com/" TargetMode="External" Id="rId4" /><Relationship Type="http://schemas.openxmlformats.org/officeDocument/2006/relationships/hyperlink" Target="https://kartik.com/" TargetMode="External" Id="rId5" /><Relationship Type="http://schemas.openxmlformats.org/officeDocument/2006/relationships/hyperlink" Target="https://bluebottlecoffee.com" TargetMode="External" Id="rId6" /><Relationship Type="http://schemas.openxmlformats.org/officeDocument/2006/relationships/hyperlink" Target="https://www.notion.so" TargetMode="External" Id="rId7" /><Relationship Type="http://schemas.openxmlformats.org/officeDocument/2006/relationships/hyperlink" Target="https://www.canva.com" TargetMode="External" Id="rId8" /><Relationship Type="http://schemas.openxmlformats.org/officeDocument/2006/relationships/hyperlink" Target="https://zapier.com" TargetMode="External" Id="rId9" /><Relationship Type="http://schemas.openxmlformats.org/officeDocument/2006/relationships/hyperlink" Target="https://www.figma.com" TargetMode="External" Id="rId10" /><Relationship Type="http://schemas.openxmlformats.org/officeDocument/2006/relationships/hyperlink" Target="https://www.hubspot.com" TargetMode="External" Id="rId11" /><Relationship Type="http://schemas.openxmlformats.org/officeDocument/2006/relationships/hyperlink" Target="https://webflow.com" TargetMode="External" Id="rId12" /><Relationship Type="http://schemas.openxmlformats.org/officeDocument/2006/relationships/hyperlink" Target="https://ahrefs.com" TargetMode="External" Id="rId13" /><Relationship Type="http://schemas.openxmlformats.org/officeDocument/2006/relationships/hyperlink" Target="https://www.semrush.com" TargetMode="External" Id="rId14" /><Relationship Type="http://schemas.openxmlformats.org/officeDocument/2006/relationships/hyperlink" Target="https://clickup.com" TargetMode="External" Id="rId15" /></Relationships>
</file>

<file path=xl/worksheets/_rels/sheet6.xml.rels><Relationships xmlns="http://schemas.openxmlformats.org/package/2006/relationships"><Relationship Type="http://schemas.openxmlformats.org/officeDocument/2006/relationships/hyperlink" Target="mailto:divyantiwariuni4@gmail.com" TargetMode="External" Id="rId1" /></Relationships>
</file>

<file path=xl/worksheets/_rels/sheet8.xml.rels><Relationships xmlns="http://schemas.openxmlformats.org/package/2006/relationships"><Relationship Type="http://schemas.openxmlformats.org/officeDocument/2006/relationships/hyperlink" Target="mailto:divyantiwariuni4@gmail.com" TargetMode="External" Id="rId1" /><Relationship Type="http://schemas.openxmlformats.org/officeDocument/2006/relationships/hyperlink" Target="mailto:divyantiwariuni4@gmail.com" TargetMode="External" Id="rId2" /><Relationship Type="http://schemas.openxmlformats.org/officeDocument/2006/relationships/hyperlink" Target="mailto:divyantiwariuni4@gmail.com" TargetMode="External" Id="rId3" /><Relationship Type="http://schemas.openxmlformats.org/officeDocument/2006/relationships/hyperlink" Target="mailto:divyantiwariuni4@gmail.com" TargetMode="External" Id="rId4" /><Relationship Type="http://schemas.openxmlformats.org/officeDocument/2006/relationships/hyperlink" Target="mailto:divyantiwariuni4@gmail.com" TargetMode="External" Id="rId5" /><Relationship Type="http://schemas.openxmlformats.org/officeDocument/2006/relationships/hyperlink" Target="mailto:divyantiwariuni4@gmail.com" TargetMode="External" Id="rId6" /><Relationship Type="http://schemas.openxmlformats.org/officeDocument/2006/relationships/hyperlink" Target="mailto:divyantiwariuni4@gmail.com" TargetMode="External" Id="rId7" /><Relationship Type="http://schemas.openxmlformats.org/officeDocument/2006/relationships/hyperlink" Target="mailto:aryandivyan@gmail.com" TargetMode="External" Id="rId8" /><Relationship Type="http://schemas.openxmlformats.org/officeDocument/2006/relationships/table" Target="/xl/tables/table1.xml" Id="rId9" /></Relationships>
</file>

<file path=xl/worksheets/sheet1.xml><?xml version="1.0" encoding="utf-8"?>
<worksheet xmlns="http://schemas.openxmlformats.org/spreadsheetml/2006/main">
  <sheetPr>
    <outlinePr summaryBelow="0" summaryRight="0"/>
    <pageSetUpPr/>
  </sheetPr>
  <dimension ref="A1:R1000"/>
  <sheetViews>
    <sheetView workbookViewId="0">
      <selection activeCell="A1" sqref="A1"/>
    </sheetView>
  </sheetViews>
  <sheetFormatPr baseColWidth="8" defaultColWidth="12.63" defaultRowHeight="15.75" customHeight="1"/>
  <sheetData>
    <row r="1">
      <c r="A1" s="1" t="inlineStr">
        <is>
          <t>Lead ID</t>
        </is>
      </c>
      <c r="B1" s="1" t="inlineStr">
        <is>
          <t>Company Name</t>
        </is>
      </c>
      <c r="C1" s="1" t="inlineStr">
        <is>
          <t>Contact Name</t>
        </is>
      </c>
      <c r="D1" s="1" t="inlineStr">
        <is>
          <t>Email</t>
        </is>
      </c>
      <c r="E1" s="1" t="inlineStr">
        <is>
          <t>Website</t>
        </is>
      </c>
      <c r="F1" s="1" t="inlineStr">
        <is>
          <t>Industry</t>
        </is>
      </c>
      <c r="G1" s="1" t="inlineStr">
        <is>
          <t>Personalised Intro</t>
        </is>
      </c>
      <c r="H1" s="1" t="inlineStr">
        <is>
          <t>Service Assigned</t>
        </is>
      </c>
      <c r="I1" s="1" t="inlineStr">
        <is>
          <t>Current Campaign</t>
        </is>
      </c>
      <c r="J1" s="1" t="inlineStr">
        <is>
          <t>Email 1 Sent</t>
        </is>
      </c>
      <c r="K1" s="1" t="inlineStr">
        <is>
          <t>Follow-up 1 Sent</t>
        </is>
      </c>
      <c r="L1" s="1" t="inlineStr">
        <is>
          <t>Follow-up 2 Sent</t>
        </is>
      </c>
      <c r="M1" s="1" t="inlineStr">
        <is>
          <t>Follow-up 3 Sent</t>
        </is>
      </c>
      <c r="N1" s="1" t="inlineStr">
        <is>
          <t>Last Email Date</t>
        </is>
      </c>
      <c r="O1" s="1" t="inlineStr">
        <is>
          <t>Status</t>
        </is>
      </c>
      <c r="P1" s="1" t="inlineStr">
        <is>
          <t>Gmail Thread ID</t>
        </is>
      </c>
      <c r="Q1" s="1" t="inlineStr">
        <is>
          <t>Notes</t>
        </is>
      </c>
      <c r="R1" s="1" t="inlineStr">
        <is>
          <t>Last Updated</t>
        </is>
      </c>
    </row>
    <row r="2">
      <c r="A2" s="29" t="n">
        <v>1</v>
      </c>
      <c r="B2" s="29" t="inlineStr">
        <is>
          <t>Tiwari Enterprises</t>
        </is>
      </c>
      <c r="C2" s="29" t="inlineStr">
        <is>
          <t>Divyan</t>
        </is>
      </c>
      <c r="D2" s="7" t="inlineStr">
        <is>
          <t>divyantiwariuni4@gmail.com</t>
        </is>
      </c>
      <c r="E2" s="9" t="inlineStr">
        <is>
          <t>https://djgam454.github.io/Portfolio-Website/</t>
        </is>
      </c>
      <c r="F2" s="29" t="inlineStr">
        <is>
          <t>Personal Portfolio</t>
        </is>
      </c>
      <c r="G2" s="29" t="inlineStr">
        <is>
          <t>For personal portfolio sites like Tiwari Enterprises, ensuring potential clients can easily find your work through search is always a priority.</t>
        </is>
      </c>
      <c r="H2" s="29" t="inlineStr">
        <is>
          <t>SEO</t>
        </is>
      </c>
      <c r="I2" s="29" t="inlineStr">
        <is>
          <t>Service 2</t>
        </is>
      </c>
      <c r="J2" s="10" t="n">
        <v>46233.54219005787</v>
      </c>
      <c r="K2" s="10" t="n"/>
      <c r="L2" s="10" t="n"/>
      <c r="M2" s="10" t="n"/>
      <c r="N2" s="11" t="n">
        <v>46233.54219005787</v>
      </c>
      <c r="O2" s="29" t="inlineStr">
        <is>
          <t>DO_NOT_CONTACT</t>
        </is>
      </c>
      <c r="P2" s="29" t="inlineStr">
        <is>
          <t>19fb1eecca78786b</t>
        </is>
      </c>
      <c r="R2" s="10" t="n">
        <v>46233.54219005787</v>
      </c>
    </row>
    <row r="3">
      <c r="A3" s="29" t="n">
        <v>2</v>
      </c>
      <c r="B3" s="29" t="inlineStr">
        <is>
          <t>A Pharma</t>
        </is>
      </c>
      <c r="C3" s="29" t="inlineStr">
        <is>
          <t>Aryan</t>
        </is>
      </c>
      <c r="D3" s="7" t="inlineStr">
        <is>
          <t>aryandivyan@gmail.com</t>
        </is>
      </c>
      <c r="E3" s="7" t="inlineStr">
        <is>
          <t>https://mchemist.com/</t>
        </is>
      </c>
      <c r="F3" s="29" t="inlineStr">
        <is>
          <t>Pharmacy</t>
        </is>
      </c>
      <c r="G3" s="29" t="inlineStr">
        <is>
          <t>Operating in the pharmacy sector involves balancing digital access with reliable patient communication.</t>
        </is>
      </c>
      <c r="H3" s="29" t="inlineStr">
        <is>
          <t>Website Development</t>
        </is>
      </c>
      <c r="I3" s="29" t="inlineStr">
        <is>
          <t>Service 1</t>
        </is>
      </c>
      <c r="J3" s="10" t="n"/>
      <c r="K3" s="10" t="n"/>
      <c r="L3" s="10" t="n"/>
      <c r="M3" s="10" t="n"/>
      <c r="N3" s="11" t="n"/>
      <c r="O3" s="29" t="inlineStr">
        <is>
          <t>DO_NOT_CONTACT</t>
        </is>
      </c>
      <c r="R3" s="10" t="n">
        <v>46233.44171714121</v>
      </c>
    </row>
    <row r="4">
      <c r="A4" s="29" t="n">
        <v>999</v>
      </c>
      <c r="B4" s="29" t="inlineStr">
        <is>
          <t>Test Invalid</t>
        </is>
      </c>
      <c r="C4" s="29" t="inlineStr">
        <is>
          <t>Invalid Test</t>
        </is>
      </c>
      <c r="D4" s="29" t="inlineStr">
        <is>
          <t>this-is-not-an-email</t>
        </is>
      </c>
      <c r="G4" s="29" t="inlineStr">
        <is>
          <t>yes</t>
        </is>
      </c>
      <c r="H4" s="29" t="inlineStr">
        <is>
          <t>Website Development</t>
        </is>
      </c>
      <c r="I4" s="29" t="inlineStr">
        <is>
          <t>Service 1</t>
        </is>
      </c>
      <c r="O4" s="29" t="inlineStr">
        <is>
          <t>INVALID</t>
        </is>
      </c>
      <c r="R4" s="10" t="n">
        <v>46231.46098068287</v>
      </c>
    </row>
    <row r="5">
      <c r="A5" s="29" t="n">
        <v>998</v>
      </c>
      <c r="B5" s="29" t="inlineStr">
        <is>
          <t>Bounce Test</t>
        </is>
      </c>
      <c r="C5" s="29" t="inlineStr">
        <is>
          <t>Test Bounce</t>
        </is>
      </c>
      <c r="D5" s="29" t="inlineStr">
        <is>
          <t>nonexistent@your-test-domain.example</t>
        </is>
      </c>
      <c r="G5" s="29" t="inlineStr">
        <is>
          <t>hi</t>
        </is>
      </c>
      <c r="H5" s="29" t="inlineStr">
        <is>
          <t>Website Development</t>
        </is>
      </c>
      <c r="I5" s="29" t="inlineStr">
        <is>
          <t>Service 1</t>
        </is>
      </c>
      <c r="J5" s="10" t="n">
        <v>46231.46103864583</v>
      </c>
      <c r="N5" s="10" t="n">
        <v>46231.46103864583</v>
      </c>
      <c r="O5" s="29" t="inlineStr">
        <is>
          <t>INVALID</t>
        </is>
      </c>
      <c r="R5" s="10" t="n">
        <v>46232.64185413194</v>
      </c>
    </row>
    <row r="6">
      <c r="A6" s="29" t="n">
        <v>3</v>
      </c>
      <c r="B6" s="29" t="inlineStr">
        <is>
          <t>Dynamisers</t>
        </is>
      </c>
      <c r="C6" s="29" t="inlineStr">
        <is>
          <t>Sudipti</t>
        </is>
      </c>
      <c r="D6" s="29" t="inlineStr">
        <is>
          <t>dynamisers@gmail.com</t>
        </is>
      </c>
      <c r="E6" s="7" t="inlineStr">
        <is>
          <t>https://www.dynamisers.com/</t>
        </is>
      </c>
      <c r="G6" s="29" t="inlineStr">
        <is>
          <t>As an agency scaling digital experiences for global startups and enterprises over the past 11 years, you know how crucial the web is.</t>
        </is>
      </c>
      <c r="H6" s="29" t="inlineStr">
        <is>
          <t>Website Development</t>
        </is>
      </c>
      <c r="I6" s="29" t="inlineStr">
        <is>
          <t>Service 1</t>
        </is>
      </c>
      <c r="J6" s="10" t="n"/>
      <c r="K6" s="10" t="n"/>
      <c r="L6" s="10" t="n"/>
      <c r="M6" s="10" t="n"/>
      <c r="N6" s="10" t="n"/>
      <c r="O6" s="29" t="inlineStr">
        <is>
          <t>DO_NOT_CONTACT</t>
        </is>
      </c>
      <c r="R6" s="10" t="n">
        <v>46233.4815141088</v>
      </c>
    </row>
    <row r="7">
      <c r="A7" s="29" t="n">
        <v>4</v>
      </c>
      <c r="B7" s="29" t="inlineStr">
        <is>
          <t>Open AI</t>
        </is>
      </c>
      <c r="C7" s="29" t="inlineStr">
        <is>
          <t>Piyush</t>
        </is>
      </c>
      <c r="D7" s="29" t="inlineStr">
        <is>
          <t>piyushbutola07@gmail.com</t>
        </is>
      </c>
      <c r="E7" s="7" t="inlineStr">
        <is>
          <t>https://openai.com/</t>
        </is>
      </c>
      <c r="F7" s="29" t="inlineStr">
        <is>
          <t>AI</t>
        </is>
      </c>
      <c r="G7" s="29" t="inlineStr">
        <is>
          <t>As OpenAI continues to deploy frontier intelligence tools and API platforms for developers, user-facing digital infrastructure remains central to the ecosystem.</t>
        </is>
      </c>
      <c r="H7" s="29" t="inlineStr">
        <is>
          <t>Website Development</t>
        </is>
      </c>
      <c r="I7" s="29" t="inlineStr">
        <is>
          <t>Service 1</t>
        </is>
      </c>
      <c r="J7" s="10" t="n">
        <v>46233.74294055555</v>
      </c>
      <c r="K7" s="10" t="n">
        <v>46233.76564501158</v>
      </c>
      <c r="L7" s="10" t="n"/>
      <c r="M7" s="10" t="n"/>
      <c r="N7" s="10" t="n">
        <v>46233.76564501158</v>
      </c>
      <c r="O7" s="29" t="inlineStr">
        <is>
          <t>FOLLOWUP_1_SENT</t>
        </is>
      </c>
      <c r="P7" s="29" t="inlineStr">
        <is>
          <t>19fb2f77576e8c74</t>
        </is>
      </c>
      <c r="R7" s="10" t="n">
        <v>46233.76564501158</v>
      </c>
    </row>
    <row r="8">
      <c r="A8" s="29" t="n">
        <v>5</v>
      </c>
      <c r="B8" s="29" t="inlineStr">
        <is>
          <t>Kartik Enterprises</t>
        </is>
      </c>
      <c r="C8" s="29" t="inlineStr">
        <is>
          <t>Kartik</t>
        </is>
      </c>
      <c r="D8" s="29" t="inlineStr">
        <is>
          <t>kartikdynamisers@gmail.com</t>
        </is>
      </c>
      <c r="E8" s="7" t="inlineStr">
        <is>
          <t>https://kartik.com/</t>
        </is>
      </c>
      <c r="F8" s="29" t="inlineStr">
        <is>
          <t>Domain Resale</t>
        </is>
      </c>
      <c r="G8" s="29" t="inlineStr">
        <is>
          <t>Managing a diverse portfolio of over 700 domains across finance and tech requires a streamlined digital setup for secure client interactions.</t>
        </is>
      </c>
      <c r="H8" s="29" t="inlineStr">
        <is>
          <t>Website Development</t>
        </is>
      </c>
      <c r="I8" s="29" t="inlineStr">
        <is>
          <t>Service 1</t>
        </is>
      </c>
      <c r="J8" s="10" t="n">
        <v>46233.74430704861</v>
      </c>
      <c r="K8" s="10" t="n">
        <v>46233.76571226852</v>
      </c>
      <c r="N8" s="10" t="n">
        <v>46233.76571226852</v>
      </c>
      <c r="O8" s="29" t="inlineStr">
        <is>
          <t>FOLLOWUP_1_SENT</t>
        </is>
      </c>
      <c r="P8" s="29" t="inlineStr">
        <is>
          <t>19fb2f94280893c9</t>
        </is>
      </c>
      <c r="R8" s="10" t="n">
        <v>46233.76571226852</v>
      </c>
    </row>
    <row r="9">
      <c r="A9" s="4" t="n">
        <v>6</v>
      </c>
      <c r="B9" s="29" t="inlineStr">
        <is>
          <t>Blue Bottle Coffee</t>
        </is>
      </c>
      <c r="C9" s="29" t="inlineStr">
        <is>
          <t>Alex Carter</t>
        </is>
      </c>
      <c r="D9" s="7" t="inlineStr">
        <is>
          <t>forhek496@gmail.com</t>
        </is>
      </c>
      <c r="E9" s="7" t="inlineStr">
        <is>
          <t>https://bluebottlecoffee.com</t>
        </is>
      </c>
      <c r="F9" s="29" t="inlineStr">
        <is>
          <t>Coffee &amp; Retail</t>
        </is>
      </c>
      <c r="G9" s="29" t="inlineStr">
        <is>
          <t>Scaling a direct-to-consumer specialty coffee subscription alongside physical cafe locations requires a seamless digital experience for customers buying brewing tools and beans online.</t>
        </is>
      </c>
      <c r="H9" s="29" t="inlineStr">
        <is>
          <t>Website Development</t>
        </is>
      </c>
      <c r="I9" s="29" t="inlineStr">
        <is>
          <t>Service 1</t>
        </is>
      </c>
      <c r="J9" s="10" t="n">
        <v>46233.74567424769</v>
      </c>
      <c r="K9" s="10" t="n">
        <v>46233.76577868056</v>
      </c>
      <c r="N9" s="10" t="n">
        <v>46233.76577868056</v>
      </c>
      <c r="O9" s="29" t="inlineStr">
        <is>
          <t>FOLLOWUP_1_SENT</t>
        </is>
      </c>
      <c r="P9" s="29" t="inlineStr">
        <is>
          <t>19fb2fb10436a965</t>
        </is>
      </c>
      <c r="R9" s="10" t="n">
        <v>46233.76577868056</v>
      </c>
    </row>
    <row r="10">
      <c r="A10" s="4" t="n">
        <v>7</v>
      </c>
      <c r="B10" s="29" t="inlineStr">
        <is>
          <t>Notion</t>
        </is>
      </c>
      <c r="C10" s="29" t="inlineStr">
        <is>
          <t>Emma Wilson</t>
        </is>
      </c>
      <c r="D10" s="7" t="inlineStr">
        <is>
          <t>anshxname@gmail.com</t>
        </is>
      </c>
      <c r="E10" s="7" t="inlineStr">
        <is>
          <t>https://www.notion.so</t>
        </is>
      </c>
      <c r="F10" s="29" t="inlineStr">
        <is>
          <t>SaaS</t>
        </is>
      </c>
      <c r="G10" s="29" t="inlineStr">
        <is>
          <t>Scaling a platform that combines docs, projects, and AI-powered automation requires a seamless web experience to keep teams connected.</t>
        </is>
      </c>
      <c r="H10" s="29" t="inlineStr">
        <is>
          <t>Website Development</t>
        </is>
      </c>
      <c r="I10" s="29" t="inlineStr">
        <is>
          <t>Service 1</t>
        </is>
      </c>
      <c r="J10" s="10" t="n">
        <v>46233.74693342593</v>
      </c>
      <c r="K10" s="10" t="n">
        <v>46233.76584221065</v>
      </c>
      <c r="N10" s="10" t="n">
        <v>46233.76584221065</v>
      </c>
      <c r="O10" s="29" t="inlineStr">
        <is>
          <t>FOLLOWUP_1_SENT</t>
        </is>
      </c>
      <c r="P10" s="29" t="inlineStr">
        <is>
          <t>19fb2fcb93f1c035</t>
        </is>
      </c>
      <c r="R10" s="10" t="n">
        <v>46233.76584221065</v>
      </c>
    </row>
    <row r="11">
      <c r="A11" s="4" t="n">
        <v>8</v>
      </c>
      <c r="B11" s="29" t="inlineStr">
        <is>
          <t>Canva</t>
        </is>
      </c>
      <c r="C11" s="29" t="inlineStr">
        <is>
          <t>Liam Brown</t>
        </is>
      </c>
      <c r="D11" s="7" t="inlineStr">
        <is>
          <t>pcshado01@gmail.com</t>
        </is>
      </c>
      <c r="E11" s="7" t="inlineStr">
        <is>
          <t>https://www.canva.com</t>
        </is>
      </c>
      <c r="F11" s="29" t="inlineStr">
        <is>
          <t>Design Software</t>
        </is>
      </c>
      <c r="G11" s="29" t="inlineStr">
        <is>
          <t>As an online graphic design platform offering tools from video editors to website builders, expanding your digital touchpoints is central to what you do.</t>
        </is>
      </c>
      <c r="H11" s="29" t="inlineStr">
        <is>
          <t>Website Development</t>
        </is>
      </c>
      <c r="I11" s="29" t="inlineStr">
        <is>
          <t>Service 1</t>
        </is>
      </c>
      <c r="J11" s="10" t="n">
        <v>46233.76587784723</v>
      </c>
      <c r="N11" s="10" t="n">
        <v>46233.76587784723</v>
      </c>
      <c r="O11" s="29" t="inlineStr">
        <is>
          <t>EMAIL_1_SENT</t>
        </is>
      </c>
      <c r="P11" s="29" t="inlineStr">
        <is>
          <t>19fb315b33a73294</t>
        </is>
      </c>
      <c r="R11" s="10" t="n">
        <v>46233.76587784723</v>
      </c>
    </row>
    <row r="12">
      <c r="A12" s="4" t="n">
        <v>9</v>
      </c>
      <c r="B12" s="29" t="inlineStr">
        <is>
          <t>Zapier</t>
        </is>
      </c>
      <c r="C12" s="29" t="inlineStr">
        <is>
          <t>Sophia Davis</t>
        </is>
      </c>
      <c r="D12" s="7" t="inlineStr">
        <is>
          <t>robuxcaedd@gmail.com</t>
        </is>
      </c>
      <c r="E12" s="7" t="inlineStr">
        <is>
          <t>https://zapier.com</t>
        </is>
      </c>
      <c r="F12" s="29" t="inlineStr">
        <is>
          <t>Automation</t>
        </is>
      </c>
      <c r="G12" s="29" t="inlineStr">
        <is>
          <t>As a platform connecting thousands of apps and AI tools, your digital touchpoints play a major role in how teams streamline their operations.</t>
        </is>
      </c>
      <c r="H12" s="29" t="inlineStr">
        <is>
          <t>Website Development</t>
        </is>
      </c>
      <c r="I12" s="29" t="inlineStr">
        <is>
          <t>Service 1</t>
        </is>
      </c>
      <c r="J12" s="10" t="n">
        <v>46233.76599859953</v>
      </c>
      <c r="N12" s="10" t="n">
        <v>46233.76599859953</v>
      </c>
      <c r="O12" s="29" t="inlineStr">
        <is>
          <t>EMAIL_1_SENT</t>
        </is>
      </c>
      <c r="P12" s="29" t="inlineStr">
        <is>
          <t>19fb315db585d281</t>
        </is>
      </c>
      <c r="R12" s="10" t="n">
        <v>46233.76599859953</v>
      </c>
    </row>
    <row r="13">
      <c r="A13" s="4" t="n">
        <v>10</v>
      </c>
      <c r="B13" s="29" t="inlineStr">
        <is>
          <t>Figma</t>
        </is>
      </c>
      <c r="C13" s="29" t="inlineStr">
        <is>
          <t>Noah Miller</t>
        </is>
      </c>
      <c r="D13" s="7" t="inlineStr">
        <is>
          <t>nddunidnuenei@gmail.com</t>
        </is>
      </c>
      <c r="E13" s="7" t="inlineStr">
        <is>
          <t>https://www.figma.com</t>
        </is>
      </c>
      <c r="F13" s="29" t="inlineStr">
        <is>
          <t>Design Software</t>
        </is>
      </c>
      <c r="G13" s="29" t="inlineStr">
        <is>
          <t>As a platform built around collaborative interface design and browser-based product building, the way users experience your web presence is vital.</t>
        </is>
      </c>
      <c r="H13" s="29" t="inlineStr">
        <is>
          <t>Website Development</t>
        </is>
      </c>
      <c r="I13" s="29" t="inlineStr">
        <is>
          <t>Service 1</t>
        </is>
      </c>
      <c r="J13" s="10" t="n">
        <v>46233.76609616898</v>
      </c>
      <c r="N13" s="10" t="n">
        <v>46233.76609616898</v>
      </c>
      <c r="O13" s="29" t="inlineStr">
        <is>
          <t>EMAIL_1_SENT</t>
        </is>
      </c>
      <c r="P13" s="29" t="inlineStr">
        <is>
          <t>19fb315fc7cc4ed4</t>
        </is>
      </c>
      <c r="R13" s="10" t="n">
        <v>46233.76609616898</v>
      </c>
    </row>
    <row r="14">
      <c r="A14" s="4" t="n">
        <v>11</v>
      </c>
      <c r="B14" s="29" t="inlineStr">
        <is>
          <t>HubSpot</t>
        </is>
      </c>
      <c r="C14" s="29" t="inlineStr">
        <is>
          <t>Olivia Moore</t>
        </is>
      </c>
      <c r="D14" s="7" t="inlineStr">
        <is>
          <t>muscelstation@gmail.com</t>
        </is>
      </c>
      <c r="E14" s="7" t="inlineStr">
        <is>
          <t>https://www.hubspot.com</t>
        </is>
      </c>
      <c r="F14" s="29" t="inlineStr">
        <is>
          <t>CRM</t>
        </is>
      </c>
      <c r="G14" s="29" t="inlineStr">
        <is>
          <t>As a platform that unites marketing, sales, and customer service through a smart CRM, your web presence has to keep up with complex operations.</t>
        </is>
      </c>
      <c r="H14" s="29" t="inlineStr">
        <is>
          <t>Website Development</t>
        </is>
      </c>
      <c r="I14" s="29" t="inlineStr">
        <is>
          <t>Service 1</t>
        </is>
      </c>
      <c r="J14" s="10" t="n">
        <v>46233.7661766088</v>
      </c>
      <c r="N14" s="10" t="n">
        <v>46233.7661766088</v>
      </c>
      <c r="O14" s="29" t="inlineStr">
        <is>
          <t>EMAIL_1_SENT</t>
        </is>
      </c>
      <c r="P14" s="29" t="inlineStr">
        <is>
          <t>19fb31618e44301b</t>
        </is>
      </c>
      <c r="R14" s="10" t="n">
        <v>46233.7661766088</v>
      </c>
    </row>
    <row r="15">
      <c r="A15" s="4" t="n">
        <v>12</v>
      </c>
      <c r="B15" s="29" t="inlineStr">
        <is>
          <t>Webflow</t>
        </is>
      </c>
      <c r="C15" s="29" t="inlineStr">
        <is>
          <t>Ethan Taylor</t>
        </is>
      </c>
      <c r="D15" s="7" t="inlineStr">
        <is>
          <t>gympremium001@gmail.com</t>
        </is>
      </c>
      <c r="E15" s="7" t="inlineStr">
        <is>
          <t>https://webflow.com</t>
        </is>
      </c>
      <c r="F15" s="29" t="inlineStr">
        <is>
          <t>Website Builder</t>
        </is>
      </c>
      <c r="G15" s="29" t="inlineStr">
        <is>
          <t>As a platform built around visual design and AI-driven tools, managing the intersection of development and marketing on the web is central to your ecosystem.</t>
        </is>
      </c>
      <c r="H15" s="29" t="inlineStr">
        <is>
          <t>Website Development</t>
        </is>
      </c>
      <c r="I15" s="29" t="inlineStr">
        <is>
          <t>Service 1</t>
        </is>
      </c>
      <c r="J15" s="10" t="n">
        <v>46233.76626983796</v>
      </c>
      <c r="N15" s="10" t="n">
        <v>46233.76626983796</v>
      </c>
      <c r="O15" s="29" t="inlineStr">
        <is>
          <t>EMAIL_1_SENT</t>
        </is>
      </c>
      <c r="P15" s="29" t="inlineStr">
        <is>
          <t>19fb31636d7d76a1</t>
        </is>
      </c>
      <c r="R15" s="10" t="n">
        <v>46233.76626983796</v>
      </c>
    </row>
    <row r="16">
      <c r="A16" s="4" t="n">
        <v>13</v>
      </c>
      <c r="B16" s="29" t="inlineStr">
        <is>
          <t>Ahrefs</t>
        </is>
      </c>
      <c r="C16" s="29" t="inlineStr">
        <is>
          <t>Ava Anderson</t>
        </is>
      </c>
      <c r="D16" s="7" t="inlineStr">
        <is>
          <t>kartikdynamisers@gmail.com</t>
        </is>
      </c>
      <c r="E16" s="7" t="inlineStr">
        <is>
          <t>https://ahrefs.com</t>
        </is>
      </c>
      <c r="F16" s="29" t="inlineStr">
        <is>
          <t>SEO</t>
        </is>
      </c>
      <c r="G16" s="29" t="inlineStr">
        <is>
          <t>Building a platform that processes billions of keywords and web pages requires a robust web infrastructure.</t>
        </is>
      </c>
      <c r="H16" s="29" t="inlineStr">
        <is>
          <t>Website Development</t>
        </is>
      </c>
      <c r="I16" s="29" t="inlineStr">
        <is>
          <t>Service 1</t>
        </is>
      </c>
      <c r="O16" s="29" t="inlineStr">
        <is>
          <t>NEW</t>
        </is>
      </c>
      <c r="R16" s="10" t="n">
        <v>46233.76383265046</v>
      </c>
    </row>
    <row r="17">
      <c r="A17" s="4" t="n">
        <v>14</v>
      </c>
      <c r="B17" s="29" t="inlineStr">
        <is>
          <t>Semrush</t>
        </is>
      </c>
      <c r="C17" s="29" t="inlineStr">
        <is>
          <t>Mason Thomas</t>
        </is>
      </c>
      <c r="D17" s="7" t="inlineStr">
        <is>
          <t>surajmukul08@gmail.com</t>
        </is>
      </c>
      <c r="E17" s="7" t="inlineStr">
        <is>
          <t>https://www.semrush.com</t>
        </is>
      </c>
      <c r="F17" s="29" t="inlineStr">
        <is>
          <t>Digital Marketing</t>
        </is>
      </c>
      <c r="G17" s="29" t="inlineStr">
        <is>
          <t>As a platform built around SEO and AI search visibility, managing complex web infrastructure is central to delivering your data.</t>
        </is>
      </c>
      <c r="H17" s="29" t="inlineStr">
        <is>
          <t>Website Development</t>
        </is>
      </c>
      <c r="I17" s="29" t="inlineStr">
        <is>
          <t>Service 1</t>
        </is>
      </c>
      <c r="J17" s="10" t="n">
        <v>46233.76635922454</v>
      </c>
      <c r="N17" s="10" t="n">
        <v>46233.76635922454</v>
      </c>
      <c r="O17" s="29" t="inlineStr">
        <is>
          <t>EMAIL_1_SENT</t>
        </is>
      </c>
      <c r="P17" s="29" t="inlineStr">
        <is>
          <t>19fb31655af8f0b3</t>
        </is>
      </c>
      <c r="R17" s="10" t="n">
        <v>46233.76635922454</v>
      </c>
    </row>
    <row r="18">
      <c r="A18" s="4" t="n">
        <v>15</v>
      </c>
      <c r="B18" s="29" t="inlineStr">
        <is>
          <t>ClickUp</t>
        </is>
      </c>
      <c r="C18" s="29" t="inlineStr">
        <is>
          <t>Isabella Jackson</t>
        </is>
      </c>
      <c r="D18" s="7" t="inlineStr">
        <is>
          <t>forstuydy@gmail.com</t>
        </is>
      </c>
      <c r="E18" s="7" t="inlineStr">
        <is>
          <t>https://clickup.com</t>
        </is>
      </c>
      <c r="F18" s="29" t="inlineStr">
        <is>
          <t>Project Management</t>
        </is>
      </c>
      <c r="G18" s="29" t="inlineStr">
        <is>
          <t>Scaling a platform that combines project management, documentation, and AI tools requires a digital experience that clearly showcases complex workflows.</t>
        </is>
      </c>
      <c r="H18" s="29" t="inlineStr">
        <is>
          <t>Website Development</t>
        </is>
      </c>
      <c r="I18" s="29" t="inlineStr">
        <is>
          <t>Service 1</t>
        </is>
      </c>
      <c r="J18" s="10" t="n">
        <v>46233.76644203703</v>
      </c>
      <c r="N18" s="10" t="n">
        <v>46233.76644203703</v>
      </c>
      <c r="O18" s="29" t="inlineStr">
        <is>
          <t>EMAIL_1_SENT</t>
        </is>
      </c>
      <c r="P18" s="29" t="inlineStr">
        <is>
          <t>19fb31670e8211e7</t>
        </is>
      </c>
      <c r="R18" s="10" t="n">
        <v>46233.76644203703</v>
      </c>
    </row>
    <row r="19">
      <c r="O19" s="29" t="n"/>
    </row>
    <row r="20">
      <c r="O20" s="29" t="n"/>
    </row>
    <row r="21">
      <c r="O21" s="29" t="n"/>
    </row>
    <row r="22">
      <c r="O22" s="29" t="n"/>
    </row>
    <row r="23">
      <c r="O23" s="29" t="n"/>
    </row>
    <row r="24">
      <c r="O24" s="29" t="n"/>
    </row>
    <row r="25">
      <c r="O25" s="29" t="n"/>
    </row>
    <row r="26">
      <c r="O26" s="29" t="n"/>
    </row>
    <row r="27">
      <c r="O27" s="29" t="n"/>
    </row>
    <row r="28">
      <c r="O28" s="29" t="n"/>
    </row>
    <row r="29">
      <c r="O29" s="29" t="n"/>
    </row>
    <row r="30">
      <c r="O30" s="29" t="n"/>
    </row>
    <row r="31">
      <c r="O31" s="29" t="n"/>
    </row>
    <row r="32">
      <c r="O32" s="29" t="n"/>
    </row>
    <row r="33">
      <c r="O33" s="29" t="n"/>
    </row>
    <row r="34">
      <c r="O34" s="29" t="n"/>
    </row>
    <row r="35">
      <c r="O35" s="29" t="n"/>
    </row>
    <row r="36">
      <c r="O36" s="29" t="n"/>
    </row>
    <row r="37">
      <c r="O37" s="29" t="n"/>
    </row>
    <row r="38">
      <c r="O38" s="29" t="n"/>
    </row>
    <row r="39">
      <c r="O39" s="29" t="n"/>
    </row>
    <row r="40">
      <c r="O40" s="29" t="n"/>
    </row>
    <row r="41">
      <c r="O41" s="29" t="n"/>
    </row>
    <row r="42">
      <c r="O42" s="29" t="n"/>
    </row>
    <row r="43">
      <c r="O43" s="29" t="n"/>
    </row>
    <row r="44">
      <c r="O44" s="29" t="n"/>
    </row>
    <row r="45">
      <c r="O45" s="29" t="n"/>
    </row>
    <row r="46">
      <c r="O46" s="29" t="n"/>
    </row>
    <row r="47">
      <c r="O47" s="29" t="n"/>
    </row>
    <row r="48">
      <c r="O48" s="29" t="n"/>
    </row>
    <row r="49">
      <c r="O49" s="29" t="n"/>
    </row>
    <row r="50">
      <c r="O50" s="29" t="n"/>
    </row>
    <row r="51">
      <c r="O51" s="29" t="n"/>
    </row>
    <row r="52">
      <c r="O52" s="29" t="n"/>
    </row>
    <row r="53">
      <c r="O53" s="29" t="n"/>
    </row>
    <row r="54">
      <c r="O54" s="29" t="n"/>
    </row>
    <row r="55">
      <c r="O55" s="29" t="n"/>
    </row>
    <row r="56">
      <c r="O56" s="29" t="n"/>
    </row>
    <row r="57">
      <c r="O57" s="29" t="n"/>
    </row>
    <row r="58">
      <c r="O58" s="29" t="n"/>
    </row>
    <row r="59">
      <c r="O59" s="29" t="n"/>
    </row>
    <row r="60">
      <c r="O60" s="29" t="n"/>
    </row>
    <row r="61">
      <c r="O61" s="29" t="n"/>
    </row>
    <row r="62">
      <c r="O62" s="29" t="n"/>
    </row>
    <row r="63">
      <c r="O63" s="29" t="n"/>
    </row>
    <row r="64">
      <c r="O64" s="29" t="n"/>
    </row>
    <row r="65">
      <c r="O65" s="29" t="n"/>
    </row>
    <row r="66">
      <c r="O66" s="29" t="n"/>
    </row>
    <row r="67">
      <c r="O67" s="29" t="n"/>
    </row>
    <row r="68">
      <c r="O68" s="29" t="n"/>
    </row>
    <row r="69">
      <c r="O69" s="29" t="n"/>
    </row>
    <row r="70">
      <c r="O70" s="29" t="n"/>
    </row>
    <row r="71">
      <c r="O71" s="29" t="n"/>
    </row>
    <row r="72">
      <c r="O72" s="29" t="n"/>
    </row>
    <row r="73">
      <c r="O73" s="29" t="n"/>
    </row>
    <row r="74">
      <c r="O74" s="29" t="n"/>
    </row>
    <row r="75">
      <c r="O75" s="29" t="n"/>
    </row>
    <row r="76">
      <c r="O76" s="29" t="n"/>
    </row>
    <row r="77">
      <c r="O77" s="29" t="n"/>
    </row>
    <row r="78">
      <c r="O78" s="29" t="n"/>
    </row>
    <row r="79">
      <c r="O79" s="29" t="n"/>
    </row>
    <row r="80">
      <c r="O80" s="29" t="n"/>
    </row>
    <row r="81">
      <c r="O81" s="29" t="n"/>
    </row>
    <row r="82">
      <c r="O82" s="29" t="n"/>
    </row>
    <row r="83">
      <c r="O83" s="29" t="n"/>
    </row>
    <row r="84">
      <c r="O84" s="29" t="n"/>
    </row>
    <row r="85">
      <c r="O85" s="29" t="n"/>
    </row>
    <row r="86">
      <c r="O86" s="29" t="n"/>
    </row>
    <row r="87">
      <c r="O87" s="29" t="n"/>
    </row>
    <row r="88">
      <c r="O88" s="29" t="n"/>
    </row>
    <row r="89">
      <c r="O89" s="29" t="n"/>
    </row>
    <row r="90">
      <c r="O90" s="29" t="n"/>
    </row>
    <row r="91">
      <c r="O91" s="29" t="n"/>
    </row>
    <row r="92">
      <c r="O92" s="29" t="n"/>
    </row>
    <row r="93">
      <c r="O93" s="29" t="n"/>
    </row>
    <row r="94">
      <c r="O94" s="29" t="n"/>
    </row>
    <row r="95">
      <c r="O95" s="29" t="n"/>
    </row>
    <row r="96">
      <c r="O96" s="29" t="n"/>
    </row>
    <row r="97">
      <c r="O97" s="29" t="n"/>
    </row>
    <row r="98">
      <c r="O98" s="29" t="n"/>
    </row>
    <row r="99">
      <c r="O99" s="29" t="n"/>
    </row>
    <row r="100">
      <c r="O100" s="29" t="n"/>
    </row>
    <row r="101">
      <c r="O101" s="29" t="n"/>
    </row>
    <row r="102">
      <c r="O102" s="29" t="n"/>
    </row>
    <row r="103">
      <c r="O103" s="29" t="n"/>
    </row>
    <row r="104">
      <c r="O104" s="29" t="n"/>
    </row>
    <row r="105">
      <c r="O105" s="29" t="n"/>
    </row>
    <row r="106">
      <c r="O106" s="29" t="n"/>
    </row>
    <row r="107">
      <c r="O107" s="29" t="n"/>
    </row>
    <row r="108">
      <c r="O108" s="29" t="n"/>
    </row>
    <row r="109">
      <c r="O109" s="29" t="n"/>
    </row>
    <row r="110">
      <c r="O110" s="29" t="n"/>
    </row>
    <row r="111">
      <c r="O111" s="29" t="n"/>
    </row>
    <row r="112">
      <c r="O112" s="29" t="n"/>
    </row>
    <row r="113">
      <c r="O113" s="29" t="n"/>
    </row>
    <row r="114">
      <c r="O114" s="29" t="n"/>
    </row>
    <row r="115">
      <c r="O115" s="29" t="n"/>
    </row>
    <row r="116">
      <c r="O116" s="29" t="n"/>
    </row>
    <row r="117">
      <c r="O117" s="29" t="n"/>
    </row>
    <row r="118">
      <c r="O118" s="29" t="n"/>
    </row>
    <row r="119">
      <c r="O119" s="29" t="n"/>
    </row>
    <row r="120">
      <c r="O120" s="29" t="n"/>
    </row>
    <row r="121">
      <c r="O121" s="29" t="n"/>
    </row>
    <row r="122">
      <c r="O122" s="29" t="n"/>
    </row>
    <row r="123">
      <c r="O123" s="29" t="n"/>
    </row>
    <row r="124">
      <c r="O124" s="29" t="n"/>
    </row>
    <row r="125">
      <c r="O125" s="29" t="n"/>
    </row>
    <row r="126">
      <c r="O126" s="29" t="n"/>
    </row>
    <row r="127">
      <c r="O127" s="29" t="n"/>
    </row>
    <row r="128">
      <c r="O128" s="29" t="n"/>
    </row>
    <row r="129">
      <c r="O129" s="29" t="n"/>
    </row>
    <row r="130">
      <c r="O130" s="29" t="n"/>
    </row>
    <row r="131">
      <c r="O131" s="29" t="n"/>
    </row>
    <row r="132">
      <c r="O132" s="29" t="n"/>
    </row>
    <row r="133">
      <c r="O133" s="29" t="n"/>
    </row>
    <row r="134">
      <c r="O134" s="29" t="n"/>
    </row>
    <row r="135">
      <c r="O135" s="29" t="n"/>
    </row>
    <row r="136">
      <c r="O136" s="29" t="n"/>
    </row>
    <row r="137">
      <c r="O137" s="29" t="n"/>
    </row>
    <row r="138">
      <c r="O138" s="29" t="n"/>
    </row>
    <row r="139">
      <c r="O139" s="29" t="n"/>
    </row>
    <row r="140">
      <c r="O140" s="29" t="n"/>
    </row>
    <row r="141">
      <c r="O141" s="29" t="n"/>
    </row>
    <row r="142">
      <c r="O142" s="29" t="n"/>
    </row>
    <row r="143">
      <c r="O143" s="29" t="n"/>
    </row>
    <row r="144">
      <c r="O144" s="29" t="n"/>
    </row>
    <row r="145">
      <c r="O145" s="29" t="n"/>
    </row>
    <row r="146">
      <c r="O146" s="29" t="n"/>
    </row>
    <row r="147">
      <c r="O147" s="29" t="n"/>
    </row>
    <row r="148">
      <c r="O148" s="29" t="n"/>
    </row>
    <row r="149">
      <c r="O149" s="29" t="n"/>
    </row>
    <row r="150">
      <c r="O150" s="29" t="n"/>
    </row>
    <row r="151">
      <c r="O151" s="29" t="n"/>
    </row>
    <row r="152">
      <c r="O152" s="29" t="n"/>
    </row>
    <row r="153">
      <c r="O153" s="29" t="n"/>
    </row>
    <row r="154">
      <c r="O154" s="29" t="n"/>
    </row>
    <row r="155">
      <c r="O155" s="29" t="n"/>
    </row>
    <row r="156">
      <c r="O156" s="29" t="n"/>
    </row>
    <row r="157">
      <c r="O157" s="29" t="n"/>
    </row>
    <row r="158">
      <c r="O158" s="29" t="n"/>
    </row>
    <row r="159">
      <c r="O159" s="29" t="n"/>
    </row>
    <row r="160">
      <c r="O160" s="29" t="n"/>
    </row>
    <row r="161">
      <c r="O161" s="29" t="n"/>
    </row>
    <row r="162">
      <c r="O162" s="29" t="n"/>
    </row>
    <row r="163">
      <c r="O163" s="29" t="n"/>
    </row>
    <row r="164">
      <c r="O164" s="29" t="n"/>
    </row>
    <row r="165">
      <c r="O165" s="29" t="n"/>
    </row>
    <row r="166">
      <c r="O166" s="29" t="n"/>
    </row>
    <row r="167">
      <c r="O167" s="29" t="n"/>
    </row>
    <row r="168">
      <c r="O168" s="29" t="n"/>
    </row>
    <row r="169">
      <c r="O169" s="29" t="n"/>
    </row>
    <row r="170">
      <c r="O170" s="29" t="n"/>
    </row>
    <row r="171">
      <c r="O171" s="29" t="n"/>
    </row>
    <row r="172">
      <c r="O172" s="29" t="n"/>
    </row>
    <row r="173">
      <c r="O173" s="29" t="n"/>
    </row>
    <row r="174">
      <c r="O174" s="29" t="n"/>
    </row>
    <row r="175">
      <c r="O175" s="29" t="n"/>
    </row>
    <row r="176">
      <c r="O176" s="29" t="n"/>
    </row>
    <row r="177">
      <c r="O177" s="29" t="n"/>
    </row>
    <row r="178">
      <c r="O178" s="29" t="n"/>
    </row>
    <row r="179">
      <c r="O179" s="29" t="n"/>
    </row>
    <row r="180">
      <c r="O180" s="29" t="n"/>
    </row>
    <row r="181">
      <c r="O181" s="29" t="n"/>
    </row>
    <row r="182">
      <c r="O182" s="29" t="n"/>
    </row>
    <row r="183">
      <c r="O183" s="29" t="n"/>
    </row>
    <row r="184">
      <c r="O184" s="29" t="n"/>
    </row>
    <row r="185">
      <c r="O185" s="29" t="n"/>
    </row>
    <row r="186">
      <c r="O186" s="29" t="n"/>
    </row>
    <row r="187">
      <c r="O187" s="29" t="n"/>
    </row>
    <row r="188">
      <c r="O188" s="29" t="n"/>
    </row>
    <row r="189">
      <c r="O189" s="29" t="n"/>
    </row>
    <row r="190">
      <c r="O190" s="29" t="n"/>
    </row>
    <row r="191">
      <c r="O191" s="29" t="n"/>
    </row>
    <row r="192">
      <c r="O192" s="29" t="n"/>
    </row>
    <row r="193">
      <c r="O193" s="29" t="n"/>
    </row>
    <row r="194">
      <c r="O194" s="29" t="n"/>
    </row>
    <row r="195">
      <c r="O195" s="29" t="n"/>
    </row>
    <row r="196">
      <c r="O196" s="29" t="n"/>
    </row>
    <row r="197">
      <c r="O197" s="29" t="n"/>
    </row>
    <row r="198">
      <c r="O198" s="29" t="n"/>
    </row>
    <row r="199">
      <c r="O199" s="29" t="n"/>
    </row>
    <row r="200">
      <c r="O200" s="29" t="n"/>
    </row>
    <row r="201">
      <c r="O201" s="29" t="n"/>
    </row>
    <row r="202">
      <c r="O202" s="29" t="n"/>
    </row>
    <row r="203">
      <c r="O203" s="29" t="n"/>
    </row>
    <row r="204">
      <c r="O204" s="29" t="n"/>
    </row>
    <row r="205">
      <c r="O205" s="29" t="n"/>
    </row>
    <row r="206">
      <c r="O206" s="29" t="n"/>
    </row>
    <row r="207">
      <c r="O207" s="29" t="n"/>
    </row>
    <row r="208">
      <c r="O208" s="29" t="n"/>
    </row>
    <row r="209">
      <c r="O209" s="29" t="n"/>
    </row>
    <row r="210">
      <c r="O210" s="29" t="n"/>
    </row>
    <row r="211">
      <c r="O211" s="29" t="n"/>
    </row>
    <row r="212">
      <c r="O212" s="29" t="n"/>
    </row>
    <row r="213">
      <c r="O213" s="29" t="n"/>
    </row>
    <row r="214">
      <c r="O214" s="29" t="n"/>
    </row>
    <row r="215">
      <c r="O215" s="29" t="n"/>
    </row>
    <row r="216">
      <c r="O216" s="29" t="n"/>
    </row>
    <row r="217">
      <c r="O217" s="29" t="n"/>
    </row>
    <row r="218">
      <c r="O218" s="29" t="n"/>
    </row>
    <row r="219">
      <c r="O219" s="29" t="n"/>
    </row>
    <row r="220">
      <c r="O220" s="29" t="n"/>
    </row>
    <row r="221">
      <c r="O221" s="29" t="n"/>
    </row>
    <row r="222">
      <c r="O222" s="29" t="n"/>
    </row>
    <row r="223">
      <c r="O223" s="29" t="n"/>
    </row>
    <row r="224">
      <c r="O224" s="29" t="n"/>
    </row>
    <row r="225">
      <c r="O225" s="29" t="n"/>
    </row>
    <row r="226">
      <c r="O226" s="29" t="n"/>
    </row>
    <row r="227">
      <c r="O227" s="29" t="n"/>
    </row>
    <row r="228">
      <c r="O228" s="29" t="n"/>
    </row>
    <row r="229">
      <c r="O229" s="29" t="n"/>
    </row>
    <row r="230">
      <c r="O230" s="29" t="n"/>
    </row>
    <row r="231">
      <c r="O231" s="29" t="n"/>
    </row>
    <row r="232">
      <c r="O232" s="29" t="n"/>
    </row>
    <row r="233">
      <c r="O233" s="29" t="n"/>
    </row>
    <row r="234">
      <c r="O234" s="29" t="n"/>
    </row>
    <row r="235">
      <c r="O235" s="29" t="n"/>
    </row>
    <row r="236">
      <c r="O236" s="29" t="n"/>
    </row>
    <row r="237">
      <c r="O237" s="29" t="n"/>
    </row>
    <row r="238">
      <c r="O238" s="29" t="n"/>
    </row>
    <row r="239">
      <c r="O239" s="29" t="n"/>
    </row>
    <row r="240">
      <c r="O240" s="29" t="n"/>
    </row>
    <row r="241">
      <c r="O241" s="29" t="n"/>
    </row>
    <row r="242">
      <c r="O242" s="29" t="n"/>
    </row>
    <row r="243">
      <c r="O243" s="29" t="n"/>
    </row>
    <row r="244">
      <c r="O244" s="29" t="n"/>
    </row>
    <row r="245">
      <c r="O245" s="29" t="n"/>
    </row>
    <row r="246">
      <c r="O246" s="29" t="n"/>
    </row>
    <row r="247">
      <c r="O247" s="29" t="n"/>
    </row>
    <row r="248">
      <c r="O248" s="29" t="n"/>
    </row>
    <row r="249">
      <c r="O249" s="29" t="n"/>
    </row>
    <row r="250">
      <c r="O250" s="29" t="n"/>
    </row>
    <row r="251">
      <c r="O251" s="29" t="n"/>
    </row>
    <row r="252">
      <c r="O252" s="29" t="n"/>
    </row>
    <row r="253">
      <c r="O253" s="29" t="n"/>
    </row>
    <row r="254">
      <c r="O254" s="29" t="n"/>
    </row>
    <row r="255">
      <c r="O255" s="29" t="n"/>
    </row>
    <row r="256">
      <c r="O256" s="29" t="n"/>
    </row>
    <row r="257">
      <c r="O257" s="29" t="n"/>
    </row>
    <row r="258">
      <c r="O258" s="29" t="n"/>
    </row>
    <row r="259">
      <c r="O259" s="29" t="n"/>
    </row>
    <row r="260">
      <c r="O260" s="29" t="n"/>
    </row>
    <row r="261">
      <c r="O261" s="29" t="n"/>
    </row>
    <row r="262">
      <c r="O262" s="29" t="n"/>
    </row>
    <row r="263">
      <c r="O263" s="29" t="n"/>
    </row>
    <row r="264">
      <c r="O264" s="29" t="n"/>
    </row>
    <row r="265">
      <c r="O265" s="29" t="n"/>
    </row>
    <row r="266">
      <c r="O266" s="29" t="n"/>
    </row>
    <row r="267">
      <c r="O267" s="29" t="n"/>
    </row>
    <row r="268">
      <c r="O268" s="29" t="n"/>
    </row>
    <row r="269">
      <c r="O269" s="29" t="n"/>
    </row>
    <row r="270">
      <c r="O270" s="29" t="n"/>
    </row>
    <row r="271">
      <c r="O271" s="29" t="n"/>
    </row>
    <row r="272">
      <c r="O272" s="29" t="n"/>
    </row>
    <row r="273">
      <c r="O273" s="29" t="n"/>
    </row>
    <row r="274">
      <c r="O274" s="29" t="n"/>
    </row>
    <row r="275">
      <c r="O275" s="29" t="n"/>
    </row>
    <row r="276">
      <c r="O276" s="29" t="n"/>
    </row>
    <row r="277">
      <c r="O277" s="29" t="n"/>
    </row>
    <row r="278">
      <c r="O278" s="29" t="n"/>
    </row>
    <row r="279">
      <c r="O279" s="29" t="n"/>
    </row>
    <row r="280">
      <c r="O280" s="29" t="n"/>
    </row>
    <row r="281">
      <c r="O281" s="29" t="n"/>
    </row>
    <row r="282">
      <c r="O282" s="29" t="n"/>
    </row>
    <row r="283">
      <c r="O283" s="29" t="n"/>
    </row>
    <row r="284">
      <c r="O284" s="29" t="n"/>
    </row>
    <row r="285">
      <c r="O285" s="29" t="n"/>
    </row>
    <row r="286">
      <c r="O286" s="29" t="n"/>
    </row>
    <row r="287">
      <c r="O287" s="29" t="n"/>
    </row>
    <row r="288">
      <c r="O288" s="29" t="n"/>
    </row>
    <row r="289">
      <c r="O289" s="29" t="n"/>
    </row>
    <row r="290">
      <c r="O290" s="29" t="n"/>
    </row>
    <row r="291">
      <c r="O291" s="29" t="n"/>
    </row>
    <row r="292">
      <c r="O292" s="29" t="n"/>
    </row>
    <row r="293">
      <c r="O293" s="29" t="n"/>
    </row>
    <row r="294">
      <c r="O294" s="29" t="n"/>
    </row>
    <row r="295">
      <c r="O295" s="29" t="n"/>
    </row>
    <row r="296">
      <c r="O296" s="29" t="n"/>
    </row>
    <row r="297">
      <c r="O297" s="29" t="n"/>
    </row>
    <row r="298">
      <c r="O298" s="29" t="n"/>
    </row>
    <row r="299">
      <c r="O299" s="29" t="n"/>
    </row>
    <row r="300">
      <c r="O300" s="29" t="n"/>
    </row>
    <row r="301">
      <c r="O301" s="29" t="n"/>
    </row>
    <row r="302">
      <c r="O302" s="29" t="n"/>
    </row>
    <row r="303">
      <c r="O303" s="29" t="n"/>
    </row>
    <row r="304">
      <c r="O304" s="29" t="n"/>
    </row>
    <row r="305">
      <c r="O305" s="29" t="n"/>
    </row>
    <row r="306">
      <c r="O306" s="29" t="n"/>
    </row>
    <row r="307">
      <c r="O307" s="29" t="n"/>
    </row>
    <row r="308">
      <c r="O308" s="29" t="n"/>
    </row>
    <row r="309">
      <c r="O309" s="29" t="n"/>
    </row>
    <row r="310">
      <c r="O310" s="29" t="n"/>
    </row>
    <row r="311">
      <c r="O311" s="29" t="n"/>
    </row>
    <row r="312">
      <c r="O312" s="29" t="n"/>
    </row>
    <row r="313">
      <c r="O313" s="29" t="n"/>
    </row>
    <row r="314">
      <c r="O314" s="29" t="n"/>
    </row>
    <row r="315">
      <c r="O315" s="29" t="n"/>
    </row>
    <row r="316">
      <c r="O316" s="29" t="n"/>
    </row>
    <row r="317">
      <c r="O317" s="29" t="n"/>
    </row>
    <row r="318">
      <c r="O318" s="29" t="n"/>
    </row>
    <row r="319">
      <c r="O319" s="29" t="n"/>
    </row>
    <row r="320">
      <c r="O320" s="29" t="n"/>
    </row>
    <row r="321">
      <c r="O321" s="29" t="n"/>
    </row>
    <row r="322">
      <c r="O322" s="29" t="n"/>
    </row>
    <row r="323">
      <c r="O323" s="29" t="n"/>
    </row>
    <row r="324">
      <c r="O324" s="29" t="n"/>
    </row>
    <row r="325">
      <c r="O325" s="29" t="n"/>
    </row>
    <row r="326">
      <c r="O326" s="29" t="n"/>
    </row>
    <row r="327">
      <c r="O327" s="29" t="n"/>
    </row>
    <row r="328">
      <c r="O328" s="29" t="n"/>
    </row>
    <row r="329">
      <c r="O329" s="29" t="n"/>
    </row>
    <row r="330">
      <c r="O330" s="29" t="n"/>
    </row>
    <row r="331">
      <c r="O331" s="29" t="n"/>
    </row>
    <row r="332">
      <c r="O332" s="29" t="n"/>
    </row>
    <row r="333">
      <c r="O333" s="29" t="n"/>
    </row>
    <row r="334">
      <c r="O334" s="29" t="n"/>
    </row>
    <row r="335">
      <c r="O335" s="29" t="n"/>
    </row>
    <row r="336">
      <c r="O336" s="29" t="n"/>
    </row>
    <row r="337">
      <c r="O337" s="29" t="n"/>
    </row>
    <row r="338">
      <c r="O338" s="29" t="n"/>
    </row>
    <row r="339">
      <c r="O339" s="29" t="n"/>
    </row>
    <row r="340">
      <c r="O340" s="29" t="n"/>
    </row>
    <row r="341">
      <c r="O341" s="29" t="n"/>
    </row>
    <row r="342">
      <c r="O342" s="29" t="n"/>
    </row>
    <row r="343">
      <c r="O343" s="29" t="n"/>
    </row>
    <row r="344">
      <c r="O344" s="29" t="n"/>
    </row>
    <row r="345">
      <c r="O345" s="29" t="n"/>
    </row>
    <row r="346">
      <c r="O346" s="29" t="n"/>
    </row>
    <row r="347">
      <c r="O347" s="29" t="n"/>
    </row>
    <row r="348">
      <c r="O348" s="29" t="n"/>
    </row>
    <row r="349">
      <c r="O349" s="29" t="n"/>
    </row>
    <row r="350">
      <c r="O350" s="29" t="n"/>
    </row>
    <row r="351">
      <c r="O351" s="29" t="n"/>
    </row>
    <row r="352">
      <c r="O352" s="29" t="n"/>
    </row>
    <row r="353">
      <c r="O353" s="29" t="n"/>
    </row>
    <row r="354">
      <c r="O354" s="29" t="n"/>
    </row>
    <row r="355">
      <c r="O355" s="29" t="n"/>
    </row>
    <row r="356">
      <c r="O356" s="29" t="n"/>
    </row>
    <row r="357">
      <c r="O357" s="29" t="n"/>
    </row>
    <row r="358">
      <c r="O358" s="29" t="n"/>
    </row>
    <row r="359">
      <c r="O359" s="29" t="n"/>
    </row>
    <row r="360">
      <c r="O360" s="29" t="n"/>
    </row>
    <row r="361">
      <c r="O361" s="29" t="n"/>
    </row>
    <row r="362">
      <c r="O362" s="29" t="n"/>
    </row>
    <row r="363">
      <c r="O363" s="29" t="n"/>
    </row>
    <row r="364">
      <c r="O364" s="29" t="n"/>
    </row>
    <row r="365">
      <c r="O365" s="29" t="n"/>
    </row>
    <row r="366">
      <c r="O366" s="29" t="n"/>
    </row>
    <row r="367">
      <c r="O367" s="29" t="n"/>
    </row>
    <row r="368">
      <c r="O368" s="29" t="n"/>
    </row>
    <row r="369">
      <c r="O369" s="29" t="n"/>
    </row>
    <row r="370">
      <c r="O370" s="29" t="n"/>
    </row>
    <row r="371">
      <c r="O371" s="29" t="n"/>
    </row>
    <row r="372">
      <c r="O372" s="29" t="n"/>
    </row>
    <row r="373">
      <c r="O373" s="29" t="n"/>
    </row>
    <row r="374">
      <c r="O374" s="29" t="n"/>
    </row>
    <row r="375">
      <c r="O375" s="29" t="n"/>
    </row>
    <row r="376">
      <c r="O376" s="29" t="n"/>
    </row>
    <row r="377">
      <c r="O377" s="29" t="n"/>
    </row>
    <row r="378">
      <c r="O378" s="29" t="n"/>
    </row>
    <row r="379">
      <c r="O379" s="29" t="n"/>
    </row>
    <row r="380">
      <c r="O380" s="29" t="n"/>
    </row>
    <row r="381">
      <c r="O381" s="29" t="n"/>
    </row>
    <row r="382">
      <c r="O382" s="29" t="n"/>
    </row>
    <row r="383">
      <c r="O383" s="29" t="n"/>
    </row>
    <row r="384">
      <c r="O384" s="29" t="n"/>
    </row>
    <row r="385">
      <c r="O385" s="29" t="n"/>
    </row>
    <row r="386">
      <c r="O386" s="29" t="n"/>
    </row>
    <row r="387">
      <c r="O387" s="29" t="n"/>
    </row>
    <row r="388">
      <c r="O388" s="29" t="n"/>
    </row>
    <row r="389">
      <c r="O389" s="29" t="n"/>
    </row>
    <row r="390">
      <c r="O390" s="29" t="n"/>
    </row>
    <row r="391">
      <c r="O391" s="29" t="n"/>
    </row>
    <row r="392">
      <c r="O392" s="29" t="n"/>
    </row>
    <row r="393">
      <c r="O393" s="29" t="n"/>
    </row>
    <row r="394">
      <c r="O394" s="29" t="n"/>
    </row>
    <row r="395">
      <c r="O395" s="29" t="n"/>
    </row>
    <row r="396">
      <c r="O396" s="29" t="n"/>
    </row>
    <row r="397">
      <c r="O397" s="29" t="n"/>
    </row>
    <row r="398">
      <c r="O398" s="29" t="n"/>
    </row>
    <row r="399">
      <c r="O399" s="29" t="n"/>
    </row>
    <row r="400">
      <c r="O400" s="29" t="n"/>
    </row>
    <row r="401">
      <c r="O401" s="29" t="n"/>
    </row>
    <row r="402">
      <c r="O402" s="29" t="n"/>
    </row>
    <row r="403">
      <c r="O403" s="29" t="n"/>
    </row>
    <row r="404">
      <c r="O404" s="29" t="n"/>
    </row>
    <row r="405">
      <c r="O405" s="29" t="n"/>
    </row>
    <row r="406">
      <c r="O406" s="29" t="n"/>
    </row>
    <row r="407">
      <c r="O407" s="29" t="n"/>
    </row>
    <row r="408">
      <c r="O408" s="29" t="n"/>
    </row>
    <row r="409">
      <c r="O409" s="29" t="n"/>
    </row>
    <row r="410">
      <c r="O410" s="29" t="n"/>
    </row>
    <row r="411">
      <c r="O411" s="29" t="n"/>
    </row>
    <row r="412">
      <c r="O412" s="29" t="n"/>
    </row>
    <row r="413">
      <c r="O413" s="29" t="n"/>
    </row>
    <row r="414">
      <c r="O414" s="29" t="n"/>
    </row>
    <row r="415">
      <c r="O415" s="29" t="n"/>
    </row>
    <row r="416">
      <c r="O416" s="29" t="n"/>
    </row>
    <row r="417">
      <c r="O417" s="29" t="n"/>
    </row>
    <row r="418">
      <c r="O418" s="29" t="n"/>
    </row>
    <row r="419">
      <c r="O419" s="29" t="n"/>
    </row>
    <row r="420">
      <c r="O420" s="29" t="n"/>
    </row>
    <row r="421">
      <c r="O421" s="29" t="n"/>
    </row>
    <row r="422">
      <c r="O422" s="29" t="n"/>
    </row>
    <row r="423">
      <c r="O423" s="29" t="n"/>
    </row>
    <row r="424">
      <c r="O424" s="29" t="n"/>
    </row>
    <row r="425">
      <c r="O425" s="29" t="n"/>
    </row>
    <row r="426">
      <c r="O426" s="29" t="n"/>
    </row>
    <row r="427">
      <c r="O427" s="29" t="n"/>
    </row>
    <row r="428">
      <c r="O428" s="29" t="n"/>
    </row>
    <row r="429">
      <c r="O429" s="29" t="n"/>
    </row>
    <row r="430">
      <c r="O430" s="29" t="n"/>
    </row>
    <row r="431">
      <c r="O431" s="29" t="n"/>
    </row>
    <row r="432">
      <c r="O432" s="29" t="n"/>
    </row>
    <row r="433">
      <c r="O433" s="29" t="n"/>
    </row>
    <row r="434">
      <c r="O434" s="29" t="n"/>
    </row>
    <row r="435">
      <c r="O435" s="29" t="n"/>
    </row>
    <row r="436">
      <c r="O436" s="29" t="n"/>
    </row>
    <row r="437">
      <c r="O437" s="29" t="n"/>
    </row>
    <row r="438">
      <c r="O438" s="29" t="n"/>
    </row>
    <row r="439">
      <c r="O439" s="29" t="n"/>
    </row>
    <row r="440">
      <c r="O440" s="29" t="n"/>
    </row>
    <row r="441">
      <c r="O441" s="29" t="n"/>
    </row>
    <row r="442">
      <c r="O442" s="29" t="n"/>
    </row>
    <row r="443">
      <c r="O443" s="29" t="n"/>
    </row>
    <row r="444">
      <c r="O444" s="29" t="n"/>
    </row>
    <row r="445">
      <c r="O445" s="29" t="n"/>
    </row>
    <row r="446">
      <c r="O446" s="29" t="n"/>
    </row>
    <row r="447">
      <c r="O447" s="29" t="n"/>
    </row>
    <row r="448">
      <c r="O448" s="29" t="n"/>
    </row>
    <row r="449">
      <c r="O449" s="29" t="n"/>
    </row>
    <row r="450">
      <c r="O450" s="29" t="n"/>
    </row>
    <row r="451">
      <c r="O451" s="29" t="n"/>
    </row>
    <row r="452">
      <c r="O452" s="29" t="n"/>
    </row>
    <row r="453">
      <c r="O453" s="29" t="n"/>
    </row>
    <row r="454">
      <c r="O454" s="29" t="n"/>
    </row>
    <row r="455">
      <c r="O455" s="29" t="n"/>
    </row>
    <row r="456">
      <c r="O456" s="29" t="n"/>
    </row>
    <row r="457">
      <c r="O457" s="29" t="n"/>
    </row>
    <row r="458">
      <c r="O458" s="29" t="n"/>
    </row>
    <row r="459">
      <c r="O459" s="29" t="n"/>
    </row>
    <row r="460">
      <c r="O460" s="29" t="n"/>
    </row>
    <row r="461">
      <c r="O461" s="29" t="n"/>
    </row>
    <row r="462">
      <c r="O462" s="29" t="n"/>
    </row>
    <row r="463">
      <c r="O463" s="29" t="n"/>
    </row>
    <row r="464">
      <c r="O464" s="29" t="n"/>
    </row>
    <row r="465">
      <c r="O465" s="29" t="n"/>
    </row>
    <row r="466">
      <c r="O466" s="29" t="n"/>
    </row>
    <row r="467">
      <c r="O467" s="29" t="n"/>
    </row>
    <row r="468">
      <c r="O468" s="29" t="n"/>
    </row>
    <row r="469">
      <c r="O469" s="29" t="n"/>
    </row>
    <row r="470">
      <c r="O470" s="29" t="n"/>
    </row>
    <row r="471">
      <c r="O471" s="29" t="n"/>
    </row>
    <row r="472">
      <c r="O472" s="29" t="n"/>
    </row>
    <row r="473">
      <c r="O473" s="29" t="n"/>
    </row>
    <row r="474">
      <c r="O474" s="29" t="n"/>
    </row>
    <row r="475">
      <c r="O475" s="29" t="n"/>
    </row>
    <row r="476">
      <c r="O476" s="29" t="n"/>
    </row>
    <row r="477">
      <c r="O477" s="29" t="n"/>
    </row>
    <row r="478">
      <c r="O478" s="29" t="n"/>
    </row>
    <row r="479">
      <c r="O479" s="29" t="n"/>
    </row>
    <row r="480">
      <c r="O480" s="29" t="n"/>
    </row>
    <row r="481">
      <c r="O481" s="29" t="n"/>
    </row>
    <row r="482">
      <c r="O482" s="29" t="n"/>
    </row>
    <row r="483">
      <c r="O483" s="29" t="n"/>
    </row>
    <row r="484">
      <c r="O484" s="29" t="n"/>
    </row>
    <row r="485">
      <c r="O485" s="29" t="n"/>
    </row>
    <row r="486">
      <c r="O486" s="29" t="n"/>
    </row>
    <row r="487">
      <c r="O487" s="29" t="n"/>
    </row>
    <row r="488">
      <c r="O488" s="29" t="n"/>
    </row>
    <row r="489">
      <c r="O489" s="29" t="n"/>
    </row>
    <row r="490">
      <c r="O490" s="29" t="n"/>
    </row>
    <row r="491">
      <c r="O491" s="29" t="n"/>
    </row>
    <row r="492">
      <c r="O492" s="29" t="n"/>
    </row>
    <row r="493">
      <c r="O493" s="29" t="n"/>
    </row>
    <row r="494">
      <c r="O494" s="29" t="n"/>
    </row>
    <row r="495">
      <c r="O495" s="29" t="n"/>
    </row>
    <row r="496">
      <c r="O496" s="29" t="n"/>
    </row>
    <row r="497">
      <c r="O497" s="29" t="n"/>
    </row>
    <row r="498">
      <c r="O498" s="29" t="n"/>
    </row>
    <row r="499">
      <c r="O499" s="29" t="n"/>
    </row>
    <row r="500">
      <c r="O500" s="29" t="n"/>
    </row>
    <row r="501">
      <c r="O501" s="29" t="n"/>
    </row>
    <row r="502">
      <c r="O502" s="29" t="n"/>
    </row>
    <row r="503">
      <c r="O503" s="29" t="n"/>
    </row>
    <row r="504">
      <c r="O504" s="29" t="n"/>
    </row>
    <row r="505">
      <c r="O505" s="29" t="n"/>
    </row>
    <row r="506">
      <c r="O506" s="29" t="n"/>
    </row>
    <row r="507">
      <c r="O507" s="29" t="n"/>
    </row>
    <row r="508">
      <c r="O508" s="29" t="n"/>
    </row>
    <row r="509">
      <c r="O509" s="29" t="n"/>
    </row>
    <row r="510">
      <c r="O510" s="29" t="n"/>
    </row>
    <row r="511">
      <c r="O511" s="29" t="n"/>
    </row>
    <row r="512">
      <c r="O512" s="29" t="n"/>
    </row>
    <row r="513">
      <c r="O513" s="29" t="n"/>
    </row>
    <row r="514">
      <c r="O514" s="29" t="n"/>
    </row>
    <row r="515">
      <c r="O515" s="29" t="n"/>
    </row>
    <row r="516">
      <c r="O516" s="29" t="n"/>
    </row>
    <row r="517">
      <c r="O517" s="29" t="n"/>
    </row>
    <row r="518">
      <c r="O518" s="29" t="n"/>
    </row>
    <row r="519">
      <c r="O519" s="29" t="n"/>
    </row>
    <row r="520">
      <c r="O520" s="29" t="n"/>
    </row>
    <row r="521">
      <c r="O521" s="29" t="n"/>
    </row>
    <row r="522">
      <c r="O522" s="29" t="n"/>
    </row>
    <row r="523">
      <c r="O523" s="29" t="n"/>
    </row>
    <row r="524">
      <c r="O524" s="29" t="n"/>
    </row>
    <row r="525">
      <c r="O525" s="29" t="n"/>
    </row>
    <row r="526">
      <c r="O526" s="29" t="n"/>
    </row>
    <row r="527">
      <c r="O527" s="29" t="n"/>
    </row>
    <row r="528">
      <c r="O528" s="29" t="n"/>
    </row>
    <row r="529">
      <c r="O529" s="29" t="n"/>
    </row>
    <row r="530">
      <c r="O530" s="29" t="n"/>
    </row>
    <row r="531">
      <c r="O531" s="29" t="n"/>
    </row>
    <row r="532">
      <c r="O532" s="29" t="n"/>
    </row>
    <row r="533">
      <c r="O533" s="29" t="n"/>
    </row>
    <row r="534">
      <c r="O534" s="29" t="n"/>
    </row>
    <row r="535">
      <c r="O535" s="29" t="n"/>
    </row>
    <row r="536">
      <c r="O536" s="29" t="n"/>
    </row>
    <row r="537">
      <c r="O537" s="29" t="n"/>
    </row>
    <row r="538">
      <c r="O538" s="29" t="n"/>
    </row>
    <row r="539">
      <c r="O539" s="29" t="n"/>
    </row>
    <row r="540">
      <c r="O540" s="29" t="n"/>
    </row>
    <row r="541">
      <c r="O541" s="29" t="n"/>
    </row>
    <row r="542">
      <c r="O542" s="29" t="n"/>
    </row>
    <row r="543">
      <c r="O543" s="29" t="n"/>
    </row>
    <row r="544">
      <c r="O544" s="29" t="n"/>
    </row>
    <row r="545">
      <c r="O545" s="29" t="n"/>
    </row>
    <row r="546">
      <c r="O546" s="29" t="n"/>
    </row>
    <row r="547">
      <c r="O547" s="29" t="n"/>
    </row>
    <row r="548">
      <c r="O548" s="29" t="n"/>
    </row>
    <row r="549">
      <c r="O549" s="29" t="n"/>
    </row>
    <row r="550">
      <c r="O550" s="29" t="n"/>
    </row>
    <row r="551">
      <c r="O551" s="29" t="n"/>
    </row>
    <row r="552">
      <c r="O552" s="29" t="n"/>
    </row>
    <row r="553">
      <c r="O553" s="29" t="n"/>
    </row>
    <row r="554">
      <c r="O554" s="29" t="n"/>
    </row>
    <row r="555">
      <c r="O555" s="29" t="n"/>
    </row>
    <row r="556">
      <c r="O556" s="29" t="n"/>
    </row>
    <row r="557">
      <c r="O557" s="29" t="n"/>
    </row>
    <row r="558">
      <c r="O558" s="29" t="n"/>
    </row>
    <row r="559">
      <c r="O559" s="29" t="n"/>
    </row>
    <row r="560">
      <c r="O560" s="29" t="n"/>
    </row>
    <row r="561">
      <c r="O561" s="29" t="n"/>
    </row>
    <row r="562">
      <c r="O562" s="29" t="n"/>
    </row>
    <row r="563">
      <c r="O563" s="29" t="n"/>
    </row>
    <row r="564">
      <c r="O564" s="29" t="n"/>
    </row>
    <row r="565">
      <c r="O565" s="29" t="n"/>
    </row>
    <row r="566">
      <c r="O566" s="29" t="n"/>
    </row>
    <row r="567">
      <c r="O567" s="29" t="n"/>
    </row>
    <row r="568">
      <c r="O568" s="29" t="n"/>
    </row>
    <row r="569">
      <c r="O569" s="29" t="n"/>
    </row>
    <row r="570">
      <c r="O570" s="29" t="n"/>
    </row>
    <row r="571">
      <c r="O571" s="29" t="n"/>
    </row>
    <row r="572">
      <c r="O572" s="29" t="n"/>
    </row>
    <row r="573">
      <c r="O573" s="29" t="n"/>
    </row>
    <row r="574">
      <c r="O574" s="29" t="n"/>
    </row>
    <row r="575">
      <c r="O575" s="29" t="n"/>
    </row>
    <row r="576">
      <c r="O576" s="29" t="n"/>
    </row>
    <row r="577">
      <c r="O577" s="29" t="n"/>
    </row>
    <row r="578">
      <c r="O578" s="29" t="n"/>
    </row>
    <row r="579">
      <c r="O579" s="29" t="n"/>
    </row>
    <row r="580">
      <c r="O580" s="29" t="n"/>
    </row>
    <row r="581">
      <c r="O581" s="29" t="n"/>
    </row>
    <row r="582">
      <c r="O582" s="29" t="n"/>
    </row>
    <row r="583">
      <c r="O583" s="29" t="n"/>
    </row>
    <row r="584">
      <c r="O584" s="29" t="n"/>
    </row>
    <row r="585">
      <c r="O585" s="29" t="n"/>
    </row>
    <row r="586">
      <c r="O586" s="29" t="n"/>
    </row>
    <row r="587">
      <c r="O587" s="29" t="n"/>
    </row>
    <row r="588">
      <c r="O588" s="29" t="n"/>
    </row>
    <row r="589">
      <c r="O589" s="29" t="n"/>
    </row>
    <row r="590">
      <c r="O590" s="29" t="n"/>
    </row>
    <row r="591">
      <c r="O591" s="29" t="n"/>
    </row>
    <row r="592">
      <c r="O592" s="29" t="n"/>
    </row>
    <row r="593">
      <c r="O593" s="29" t="n"/>
    </row>
    <row r="594">
      <c r="O594" s="29" t="n"/>
    </row>
    <row r="595">
      <c r="O595" s="29" t="n"/>
    </row>
    <row r="596">
      <c r="O596" s="29" t="n"/>
    </row>
    <row r="597">
      <c r="O597" s="29" t="n"/>
    </row>
    <row r="598">
      <c r="O598" s="29" t="n"/>
    </row>
    <row r="599">
      <c r="O599" s="29" t="n"/>
    </row>
    <row r="600">
      <c r="O600" s="29" t="n"/>
    </row>
    <row r="601">
      <c r="O601" s="29" t="n"/>
    </row>
    <row r="602">
      <c r="O602" s="29" t="n"/>
    </row>
    <row r="603">
      <c r="O603" s="29" t="n"/>
    </row>
    <row r="604">
      <c r="O604" s="29" t="n"/>
    </row>
    <row r="605">
      <c r="O605" s="29" t="n"/>
    </row>
    <row r="606">
      <c r="O606" s="29" t="n"/>
    </row>
    <row r="607">
      <c r="O607" s="29" t="n"/>
    </row>
    <row r="608">
      <c r="O608" s="29" t="n"/>
    </row>
    <row r="609">
      <c r="O609" s="29" t="n"/>
    </row>
    <row r="610">
      <c r="O610" s="29" t="n"/>
    </row>
    <row r="611">
      <c r="O611" s="29" t="n"/>
    </row>
    <row r="612">
      <c r="O612" s="29" t="n"/>
    </row>
    <row r="613">
      <c r="O613" s="29" t="n"/>
    </row>
    <row r="614">
      <c r="O614" s="29" t="n"/>
    </row>
    <row r="615">
      <c r="O615" s="29" t="n"/>
    </row>
    <row r="616">
      <c r="O616" s="29" t="n"/>
    </row>
    <row r="617">
      <c r="O617" s="29" t="n"/>
    </row>
    <row r="618">
      <c r="O618" s="29" t="n"/>
    </row>
    <row r="619">
      <c r="O619" s="29" t="n"/>
    </row>
    <row r="620">
      <c r="O620" s="29" t="n"/>
    </row>
    <row r="621">
      <c r="O621" s="29" t="n"/>
    </row>
    <row r="622">
      <c r="O622" s="29" t="n"/>
    </row>
    <row r="623">
      <c r="O623" s="29" t="n"/>
    </row>
    <row r="624">
      <c r="O624" s="29" t="n"/>
    </row>
    <row r="625">
      <c r="O625" s="29" t="n"/>
    </row>
    <row r="626">
      <c r="O626" s="29" t="n"/>
    </row>
    <row r="627">
      <c r="O627" s="29" t="n"/>
    </row>
    <row r="628">
      <c r="O628" s="29" t="n"/>
    </row>
    <row r="629">
      <c r="O629" s="29" t="n"/>
    </row>
    <row r="630">
      <c r="O630" s="29" t="n"/>
    </row>
    <row r="631">
      <c r="O631" s="29" t="n"/>
    </row>
    <row r="632">
      <c r="O632" s="29" t="n"/>
    </row>
    <row r="633">
      <c r="O633" s="29" t="n"/>
    </row>
    <row r="634">
      <c r="O634" s="29" t="n"/>
    </row>
    <row r="635">
      <c r="O635" s="29" t="n"/>
    </row>
    <row r="636">
      <c r="O636" s="29" t="n"/>
    </row>
    <row r="637">
      <c r="O637" s="29" t="n"/>
    </row>
    <row r="638">
      <c r="O638" s="29" t="n"/>
    </row>
    <row r="639">
      <c r="O639" s="29" t="n"/>
    </row>
    <row r="640">
      <c r="O640" s="29" t="n"/>
    </row>
    <row r="641">
      <c r="O641" s="29" t="n"/>
    </row>
    <row r="642">
      <c r="O642" s="29" t="n"/>
    </row>
    <row r="643">
      <c r="O643" s="29" t="n"/>
    </row>
    <row r="644">
      <c r="O644" s="29" t="n"/>
    </row>
    <row r="645">
      <c r="O645" s="29" t="n"/>
    </row>
    <row r="646">
      <c r="O646" s="29" t="n"/>
    </row>
    <row r="647">
      <c r="O647" s="29" t="n"/>
    </row>
    <row r="648">
      <c r="O648" s="29" t="n"/>
    </row>
    <row r="649">
      <c r="O649" s="29" t="n"/>
    </row>
    <row r="650">
      <c r="O650" s="29" t="n"/>
    </row>
    <row r="651">
      <c r="O651" s="29" t="n"/>
    </row>
    <row r="652">
      <c r="O652" s="29" t="n"/>
    </row>
    <row r="653">
      <c r="O653" s="29" t="n"/>
    </row>
    <row r="654">
      <c r="O654" s="29" t="n"/>
    </row>
    <row r="655">
      <c r="O655" s="29" t="n"/>
    </row>
    <row r="656">
      <c r="O656" s="29" t="n"/>
    </row>
    <row r="657">
      <c r="O657" s="29" t="n"/>
    </row>
    <row r="658">
      <c r="O658" s="29" t="n"/>
    </row>
    <row r="659">
      <c r="O659" s="29" t="n"/>
    </row>
    <row r="660">
      <c r="O660" s="29" t="n"/>
    </row>
    <row r="661">
      <c r="O661" s="29" t="n"/>
    </row>
    <row r="662">
      <c r="O662" s="29" t="n"/>
    </row>
    <row r="663">
      <c r="O663" s="29" t="n"/>
    </row>
    <row r="664">
      <c r="O664" s="29" t="n"/>
    </row>
    <row r="665">
      <c r="O665" s="29" t="n"/>
    </row>
    <row r="666">
      <c r="O666" s="29" t="n"/>
    </row>
    <row r="667">
      <c r="O667" s="29" t="n"/>
    </row>
    <row r="668">
      <c r="O668" s="29" t="n"/>
    </row>
    <row r="669">
      <c r="O669" s="29" t="n"/>
    </row>
    <row r="670">
      <c r="O670" s="29" t="n"/>
    </row>
    <row r="671">
      <c r="O671" s="29" t="n"/>
    </row>
    <row r="672">
      <c r="O672" s="29" t="n"/>
    </row>
    <row r="673">
      <c r="O673" s="29" t="n"/>
    </row>
    <row r="674">
      <c r="O674" s="29" t="n"/>
    </row>
    <row r="675">
      <c r="O675" s="29" t="n"/>
    </row>
    <row r="676">
      <c r="O676" s="29" t="n"/>
    </row>
    <row r="677">
      <c r="O677" s="29" t="n"/>
    </row>
    <row r="678">
      <c r="O678" s="29" t="n"/>
    </row>
    <row r="679">
      <c r="O679" s="29" t="n"/>
    </row>
    <row r="680">
      <c r="O680" s="29" t="n"/>
    </row>
    <row r="681">
      <c r="O681" s="29" t="n"/>
    </row>
    <row r="682">
      <c r="O682" s="29" t="n"/>
    </row>
    <row r="683">
      <c r="O683" s="29" t="n"/>
    </row>
    <row r="684">
      <c r="O684" s="29" t="n"/>
    </row>
    <row r="685">
      <c r="O685" s="29" t="n"/>
    </row>
    <row r="686">
      <c r="O686" s="29" t="n"/>
    </row>
    <row r="687">
      <c r="O687" s="29" t="n"/>
    </row>
    <row r="688">
      <c r="O688" s="29" t="n"/>
    </row>
    <row r="689">
      <c r="O689" s="29" t="n"/>
    </row>
    <row r="690">
      <c r="O690" s="29" t="n"/>
    </row>
    <row r="691">
      <c r="O691" s="29" t="n"/>
    </row>
    <row r="692">
      <c r="O692" s="29" t="n"/>
    </row>
    <row r="693">
      <c r="O693" s="29" t="n"/>
    </row>
    <row r="694">
      <c r="O694" s="29" t="n"/>
    </row>
    <row r="695">
      <c r="O695" s="29" t="n"/>
    </row>
    <row r="696">
      <c r="O696" s="29" t="n"/>
    </row>
    <row r="697">
      <c r="O697" s="29" t="n"/>
    </row>
    <row r="698">
      <c r="O698" s="29" t="n"/>
    </row>
    <row r="699">
      <c r="O699" s="29" t="n"/>
    </row>
    <row r="700">
      <c r="O700" s="29" t="n"/>
    </row>
    <row r="701">
      <c r="O701" s="29" t="n"/>
    </row>
    <row r="702">
      <c r="O702" s="29" t="n"/>
    </row>
    <row r="703">
      <c r="O703" s="29" t="n"/>
    </row>
    <row r="704">
      <c r="O704" s="29" t="n"/>
    </row>
    <row r="705">
      <c r="O705" s="29" t="n"/>
    </row>
    <row r="706">
      <c r="O706" s="29" t="n"/>
    </row>
    <row r="707">
      <c r="O707" s="29" t="n"/>
    </row>
    <row r="708">
      <c r="O708" s="29" t="n"/>
    </row>
    <row r="709">
      <c r="O709" s="29" t="n"/>
    </row>
    <row r="710">
      <c r="O710" s="29" t="n"/>
    </row>
    <row r="711">
      <c r="O711" s="29" t="n"/>
    </row>
    <row r="712">
      <c r="O712" s="29" t="n"/>
    </row>
    <row r="713">
      <c r="O713" s="29" t="n"/>
    </row>
    <row r="714">
      <c r="O714" s="29" t="n"/>
    </row>
    <row r="715">
      <c r="O715" s="29" t="n"/>
    </row>
    <row r="716">
      <c r="O716" s="29" t="n"/>
    </row>
    <row r="717">
      <c r="O717" s="29" t="n"/>
    </row>
    <row r="718">
      <c r="O718" s="29" t="n"/>
    </row>
    <row r="719">
      <c r="O719" s="29" t="n"/>
    </row>
    <row r="720">
      <c r="O720" s="29" t="n"/>
    </row>
    <row r="721">
      <c r="O721" s="29" t="n"/>
    </row>
    <row r="722">
      <c r="O722" s="29" t="n"/>
    </row>
    <row r="723">
      <c r="O723" s="29" t="n"/>
    </row>
    <row r="724">
      <c r="O724" s="29" t="n"/>
    </row>
    <row r="725">
      <c r="O725" s="29" t="n"/>
    </row>
    <row r="726">
      <c r="O726" s="29" t="n"/>
    </row>
    <row r="727">
      <c r="O727" s="29" t="n"/>
    </row>
    <row r="728">
      <c r="O728" s="29" t="n"/>
    </row>
    <row r="729">
      <c r="O729" s="29" t="n"/>
    </row>
    <row r="730">
      <c r="O730" s="29" t="n"/>
    </row>
    <row r="731">
      <c r="O731" s="29" t="n"/>
    </row>
    <row r="732">
      <c r="O732" s="29" t="n"/>
    </row>
    <row r="733">
      <c r="O733" s="29" t="n"/>
    </row>
    <row r="734">
      <c r="O734" s="29" t="n"/>
    </row>
    <row r="735">
      <c r="O735" s="29" t="n"/>
    </row>
    <row r="736">
      <c r="O736" s="29" t="n"/>
    </row>
    <row r="737">
      <c r="O737" s="29" t="n"/>
    </row>
    <row r="738">
      <c r="O738" s="29" t="n"/>
    </row>
    <row r="739">
      <c r="O739" s="29" t="n"/>
    </row>
    <row r="740">
      <c r="O740" s="29" t="n"/>
    </row>
    <row r="741">
      <c r="O741" s="29" t="n"/>
    </row>
    <row r="742">
      <c r="O742" s="29" t="n"/>
    </row>
    <row r="743">
      <c r="O743" s="29" t="n"/>
    </row>
    <row r="744">
      <c r="O744" s="29" t="n"/>
    </row>
    <row r="745">
      <c r="O745" s="29" t="n"/>
    </row>
    <row r="746">
      <c r="O746" s="29" t="n"/>
    </row>
    <row r="747">
      <c r="O747" s="29" t="n"/>
    </row>
    <row r="748">
      <c r="O748" s="29" t="n"/>
    </row>
    <row r="749">
      <c r="O749" s="29" t="n"/>
    </row>
    <row r="750">
      <c r="O750" s="29" t="n"/>
    </row>
    <row r="751">
      <c r="O751" s="29" t="n"/>
    </row>
    <row r="752">
      <c r="O752" s="29" t="n"/>
    </row>
    <row r="753">
      <c r="O753" s="29" t="n"/>
    </row>
    <row r="754">
      <c r="O754" s="29" t="n"/>
    </row>
    <row r="755">
      <c r="O755" s="29" t="n"/>
    </row>
    <row r="756">
      <c r="O756" s="29" t="n"/>
    </row>
    <row r="757">
      <c r="O757" s="29" t="n"/>
    </row>
    <row r="758">
      <c r="O758" s="29" t="n"/>
    </row>
    <row r="759">
      <c r="O759" s="29" t="n"/>
    </row>
    <row r="760">
      <c r="O760" s="29" t="n"/>
    </row>
    <row r="761">
      <c r="O761" s="29" t="n"/>
    </row>
    <row r="762">
      <c r="O762" s="29" t="n"/>
    </row>
    <row r="763">
      <c r="O763" s="29" t="n"/>
    </row>
    <row r="764">
      <c r="O764" s="29" t="n"/>
    </row>
    <row r="765">
      <c r="O765" s="29" t="n"/>
    </row>
    <row r="766">
      <c r="O766" s="29" t="n"/>
    </row>
    <row r="767">
      <c r="O767" s="29" t="n"/>
    </row>
    <row r="768">
      <c r="O768" s="29" t="n"/>
    </row>
    <row r="769">
      <c r="O769" s="29" t="n"/>
    </row>
    <row r="770">
      <c r="O770" s="29" t="n"/>
    </row>
    <row r="771">
      <c r="O771" s="29" t="n"/>
    </row>
    <row r="772">
      <c r="O772" s="29" t="n"/>
    </row>
    <row r="773">
      <c r="O773" s="29" t="n"/>
    </row>
    <row r="774">
      <c r="O774" s="29" t="n"/>
    </row>
    <row r="775">
      <c r="O775" s="29" t="n"/>
    </row>
    <row r="776">
      <c r="O776" s="29" t="n"/>
    </row>
    <row r="777">
      <c r="O777" s="29" t="n"/>
    </row>
    <row r="778">
      <c r="O778" s="29" t="n"/>
    </row>
    <row r="779">
      <c r="O779" s="29" t="n"/>
    </row>
    <row r="780">
      <c r="O780" s="29" t="n"/>
    </row>
    <row r="781">
      <c r="O781" s="29" t="n"/>
    </row>
    <row r="782">
      <c r="O782" s="29" t="n"/>
    </row>
    <row r="783">
      <c r="O783" s="29" t="n"/>
    </row>
    <row r="784">
      <c r="O784" s="29" t="n"/>
    </row>
    <row r="785">
      <c r="O785" s="29" t="n"/>
    </row>
    <row r="786">
      <c r="O786" s="29" t="n"/>
    </row>
    <row r="787">
      <c r="O787" s="29" t="n"/>
    </row>
    <row r="788">
      <c r="O788" s="29" t="n"/>
    </row>
    <row r="789">
      <c r="O789" s="29" t="n"/>
    </row>
    <row r="790">
      <c r="O790" s="29" t="n"/>
    </row>
    <row r="791">
      <c r="O791" s="29" t="n"/>
    </row>
    <row r="792">
      <c r="O792" s="29" t="n"/>
    </row>
    <row r="793">
      <c r="O793" s="29" t="n"/>
    </row>
    <row r="794">
      <c r="O794" s="29" t="n"/>
    </row>
    <row r="795">
      <c r="O795" s="29" t="n"/>
    </row>
    <row r="796">
      <c r="O796" s="29" t="n"/>
    </row>
    <row r="797">
      <c r="O797" s="29" t="n"/>
    </row>
    <row r="798">
      <c r="O798" s="29" t="n"/>
    </row>
    <row r="799">
      <c r="O799" s="29" t="n"/>
    </row>
    <row r="800">
      <c r="O800" s="29" t="n"/>
    </row>
    <row r="801">
      <c r="O801" s="29" t="n"/>
    </row>
    <row r="802">
      <c r="O802" s="29" t="n"/>
    </row>
    <row r="803">
      <c r="O803" s="29" t="n"/>
    </row>
    <row r="804">
      <c r="O804" s="29" t="n"/>
    </row>
    <row r="805">
      <c r="O805" s="29" t="n"/>
    </row>
    <row r="806">
      <c r="O806" s="29" t="n"/>
    </row>
    <row r="807">
      <c r="O807" s="29" t="n"/>
    </row>
    <row r="808">
      <c r="O808" s="29" t="n"/>
    </row>
    <row r="809">
      <c r="O809" s="29" t="n"/>
    </row>
    <row r="810">
      <c r="O810" s="29" t="n"/>
    </row>
    <row r="811">
      <c r="O811" s="29" t="n"/>
    </row>
    <row r="812">
      <c r="O812" s="29" t="n"/>
    </row>
    <row r="813">
      <c r="O813" s="29" t="n"/>
    </row>
    <row r="814">
      <c r="O814" s="29" t="n"/>
    </row>
    <row r="815">
      <c r="O815" s="29" t="n"/>
    </row>
    <row r="816">
      <c r="O816" s="29" t="n"/>
    </row>
    <row r="817">
      <c r="O817" s="29" t="n"/>
    </row>
    <row r="818">
      <c r="O818" s="29" t="n"/>
    </row>
    <row r="819">
      <c r="O819" s="29" t="n"/>
    </row>
    <row r="820">
      <c r="O820" s="29" t="n"/>
    </row>
    <row r="821">
      <c r="O821" s="29" t="n"/>
    </row>
    <row r="822">
      <c r="O822" s="29" t="n"/>
    </row>
    <row r="823">
      <c r="O823" s="29" t="n"/>
    </row>
    <row r="824">
      <c r="O824" s="29" t="n"/>
    </row>
    <row r="825">
      <c r="O825" s="29" t="n"/>
    </row>
    <row r="826">
      <c r="O826" s="29" t="n"/>
    </row>
    <row r="827">
      <c r="O827" s="29" t="n"/>
    </row>
    <row r="828">
      <c r="O828" s="29" t="n"/>
    </row>
    <row r="829">
      <c r="O829" s="29" t="n"/>
    </row>
    <row r="830">
      <c r="O830" s="29" t="n"/>
    </row>
    <row r="831">
      <c r="O831" s="29" t="n"/>
    </row>
    <row r="832">
      <c r="O832" s="29" t="n"/>
    </row>
    <row r="833">
      <c r="O833" s="29" t="n"/>
    </row>
    <row r="834">
      <c r="O834" s="29" t="n"/>
    </row>
    <row r="835">
      <c r="O835" s="29" t="n"/>
    </row>
    <row r="836">
      <c r="O836" s="29" t="n"/>
    </row>
    <row r="837">
      <c r="O837" s="29" t="n"/>
    </row>
    <row r="838">
      <c r="O838" s="29" t="n"/>
    </row>
    <row r="839">
      <c r="O839" s="29" t="n"/>
    </row>
    <row r="840">
      <c r="O840" s="29" t="n"/>
    </row>
    <row r="841">
      <c r="O841" s="29" t="n"/>
    </row>
    <row r="842">
      <c r="O842" s="29" t="n"/>
    </row>
    <row r="843">
      <c r="O843" s="29" t="n"/>
    </row>
    <row r="844">
      <c r="O844" s="29" t="n"/>
    </row>
    <row r="845">
      <c r="O845" s="29" t="n"/>
    </row>
    <row r="846">
      <c r="O846" s="29" t="n"/>
    </row>
    <row r="847">
      <c r="O847" s="29" t="n"/>
    </row>
    <row r="848">
      <c r="O848" s="29" t="n"/>
    </row>
    <row r="849">
      <c r="O849" s="29" t="n"/>
    </row>
    <row r="850">
      <c r="O850" s="29" t="n"/>
    </row>
    <row r="851">
      <c r="O851" s="29" t="n"/>
    </row>
    <row r="852">
      <c r="O852" s="29" t="n"/>
    </row>
    <row r="853">
      <c r="O853" s="29" t="n"/>
    </row>
    <row r="854">
      <c r="O854" s="29" t="n"/>
    </row>
    <row r="855">
      <c r="O855" s="29" t="n"/>
    </row>
    <row r="856">
      <c r="O856" s="29" t="n"/>
    </row>
    <row r="857">
      <c r="O857" s="29" t="n"/>
    </row>
    <row r="858">
      <c r="O858" s="29" t="n"/>
    </row>
    <row r="859">
      <c r="O859" s="29" t="n"/>
    </row>
    <row r="860">
      <c r="O860" s="29" t="n"/>
    </row>
    <row r="861">
      <c r="O861" s="29" t="n"/>
    </row>
    <row r="862">
      <c r="O862" s="29" t="n"/>
    </row>
    <row r="863">
      <c r="O863" s="29" t="n"/>
    </row>
    <row r="864">
      <c r="O864" s="29" t="n"/>
    </row>
    <row r="865">
      <c r="O865" s="29" t="n"/>
    </row>
    <row r="866">
      <c r="O866" s="29" t="n"/>
    </row>
    <row r="867">
      <c r="O867" s="29" t="n"/>
    </row>
    <row r="868">
      <c r="O868" s="29" t="n"/>
    </row>
    <row r="869">
      <c r="O869" s="29" t="n"/>
    </row>
    <row r="870">
      <c r="O870" s="29" t="n"/>
    </row>
    <row r="871">
      <c r="O871" s="29" t="n"/>
    </row>
    <row r="872">
      <c r="O872" s="29" t="n"/>
    </row>
    <row r="873">
      <c r="O873" s="29" t="n"/>
    </row>
    <row r="874">
      <c r="O874" s="29" t="n"/>
    </row>
    <row r="875">
      <c r="O875" s="29" t="n"/>
    </row>
    <row r="876">
      <c r="O876" s="29" t="n"/>
    </row>
    <row r="877">
      <c r="O877" s="29" t="n"/>
    </row>
    <row r="878">
      <c r="O878" s="29" t="n"/>
    </row>
    <row r="879">
      <c r="O879" s="29" t="n"/>
    </row>
    <row r="880">
      <c r="O880" s="29" t="n"/>
    </row>
    <row r="881">
      <c r="O881" s="29" t="n"/>
    </row>
    <row r="882">
      <c r="O882" s="29" t="n"/>
    </row>
    <row r="883">
      <c r="O883" s="29" t="n"/>
    </row>
    <row r="884">
      <c r="O884" s="29" t="n"/>
    </row>
    <row r="885">
      <c r="O885" s="29" t="n"/>
    </row>
    <row r="886">
      <c r="O886" s="29" t="n"/>
    </row>
    <row r="887">
      <c r="O887" s="29" t="n"/>
    </row>
    <row r="888">
      <c r="O888" s="29" t="n"/>
    </row>
    <row r="889">
      <c r="O889" s="29" t="n"/>
    </row>
    <row r="890">
      <c r="O890" s="29" t="n"/>
    </row>
    <row r="891">
      <c r="O891" s="29" t="n"/>
    </row>
    <row r="892">
      <c r="O892" s="29" t="n"/>
    </row>
    <row r="893">
      <c r="O893" s="29" t="n"/>
    </row>
    <row r="894">
      <c r="O894" s="29" t="n"/>
    </row>
    <row r="895">
      <c r="O895" s="29" t="n"/>
    </row>
    <row r="896">
      <c r="O896" s="29" t="n"/>
    </row>
    <row r="897">
      <c r="O897" s="29" t="n"/>
    </row>
    <row r="898">
      <c r="O898" s="29" t="n"/>
    </row>
    <row r="899">
      <c r="O899" s="29" t="n"/>
    </row>
    <row r="900">
      <c r="O900" s="29" t="n"/>
    </row>
    <row r="901">
      <c r="O901" s="29" t="n"/>
    </row>
    <row r="902">
      <c r="O902" s="29" t="n"/>
    </row>
    <row r="903">
      <c r="O903" s="29" t="n"/>
    </row>
    <row r="904">
      <c r="O904" s="29" t="n"/>
    </row>
    <row r="905">
      <c r="O905" s="29" t="n"/>
    </row>
    <row r="906">
      <c r="O906" s="29" t="n"/>
    </row>
    <row r="907">
      <c r="O907" s="29" t="n"/>
    </row>
    <row r="908">
      <c r="O908" s="29" t="n"/>
    </row>
    <row r="909">
      <c r="O909" s="29" t="n"/>
    </row>
    <row r="910">
      <c r="O910" s="29" t="n"/>
    </row>
    <row r="911">
      <c r="O911" s="29" t="n"/>
    </row>
    <row r="912">
      <c r="O912" s="29" t="n"/>
    </row>
    <row r="913">
      <c r="O913" s="29" t="n"/>
    </row>
    <row r="914">
      <c r="O914" s="29" t="n"/>
    </row>
    <row r="915">
      <c r="O915" s="29" t="n"/>
    </row>
    <row r="916">
      <c r="O916" s="29" t="n"/>
    </row>
    <row r="917">
      <c r="O917" s="29" t="n"/>
    </row>
    <row r="918">
      <c r="O918" s="29" t="n"/>
    </row>
    <row r="919">
      <c r="O919" s="29" t="n"/>
    </row>
    <row r="920">
      <c r="O920" s="29" t="n"/>
    </row>
    <row r="921">
      <c r="O921" s="29" t="n"/>
    </row>
    <row r="922">
      <c r="O922" s="29" t="n"/>
    </row>
    <row r="923">
      <c r="O923" s="29" t="n"/>
    </row>
    <row r="924">
      <c r="O924" s="29" t="n"/>
    </row>
    <row r="925">
      <c r="O925" s="29" t="n"/>
    </row>
    <row r="926">
      <c r="O926" s="29" t="n"/>
    </row>
    <row r="927">
      <c r="O927" s="29" t="n"/>
    </row>
    <row r="928">
      <c r="O928" s="29" t="n"/>
    </row>
    <row r="929">
      <c r="O929" s="29" t="n"/>
    </row>
    <row r="930">
      <c r="O930" s="29" t="n"/>
    </row>
    <row r="931">
      <c r="O931" s="29" t="n"/>
    </row>
    <row r="932">
      <c r="O932" s="29" t="n"/>
    </row>
    <row r="933">
      <c r="O933" s="29" t="n"/>
    </row>
    <row r="934">
      <c r="O934" s="29" t="n"/>
    </row>
    <row r="935">
      <c r="O935" s="29" t="n"/>
    </row>
    <row r="936">
      <c r="O936" s="29" t="n"/>
    </row>
    <row r="937">
      <c r="O937" s="29" t="n"/>
    </row>
    <row r="938">
      <c r="O938" s="29" t="n"/>
    </row>
    <row r="939">
      <c r="O939" s="29" t="n"/>
    </row>
    <row r="940">
      <c r="O940" s="29" t="n"/>
    </row>
    <row r="941">
      <c r="O941" s="29" t="n"/>
    </row>
    <row r="942">
      <c r="O942" s="29" t="n"/>
    </row>
    <row r="943">
      <c r="O943" s="29" t="n"/>
    </row>
    <row r="944">
      <c r="O944" s="29" t="n"/>
    </row>
    <row r="945">
      <c r="O945" s="29" t="n"/>
    </row>
    <row r="946">
      <c r="O946" s="29" t="n"/>
    </row>
    <row r="947">
      <c r="O947" s="29" t="n"/>
    </row>
    <row r="948">
      <c r="O948" s="29" t="n"/>
    </row>
    <row r="949">
      <c r="O949" s="29" t="n"/>
    </row>
    <row r="950">
      <c r="O950" s="29" t="n"/>
    </row>
    <row r="951">
      <c r="O951" s="29" t="n"/>
    </row>
    <row r="952">
      <c r="O952" s="29" t="n"/>
    </row>
    <row r="953">
      <c r="O953" s="29" t="n"/>
    </row>
    <row r="954">
      <c r="O954" s="29" t="n"/>
    </row>
    <row r="955">
      <c r="O955" s="29" t="n"/>
    </row>
    <row r="956">
      <c r="O956" s="29" t="n"/>
    </row>
    <row r="957">
      <c r="O957" s="29" t="n"/>
    </row>
    <row r="958">
      <c r="O958" s="29" t="n"/>
    </row>
    <row r="959">
      <c r="O959" s="29" t="n"/>
    </row>
    <row r="960">
      <c r="O960" s="29" t="n"/>
    </row>
    <row r="961">
      <c r="O961" s="29" t="n"/>
    </row>
    <row r="962">
      <c r="O962" s="29" t="n"/>
    </row>
    <row r="963">
      <c r="O963" s="29" t="n"/>
    </row>
    <row r="964">
      <c r="O964" s="29" t="n"/>
    </row>
    <row r="965">
      <c r="O965" s="29" t="n"/>
    </row>
    <row r="966">
      <c r="O966" s="29" t="n"/>
    </row>
    <row r="967">
      <c r="O967" s="29" t="n"/>
    </row>
    <row r="968">
      <c r="O968" s="29" t="n"/>
    </row>
    <row r="969">
      <c r="O969" s="29" t="n"/>
    </row>
    <row r="970">
      <c r="O970" s="29" t="n"/>
    </row>
    <row r="971">
      <c r="O971" s="29" t="n"/>
    </row>
    <row r="972">
      <c r="O972" s="29" t="n"/>
    </row>
    <row r="973">
      <c r="O973" s="29" t="n"/>
    </row>
    <row r="974">
      <c r="O974" s="29" t="n"/>
    </row>
    <row r="975">
      <c r="O975" s="29" t="n"/>
    </row>
    <row r="976">
      <c r="O976" s="29" t="n"/>
    </row>
    <row r="977">
      <c r="O977" s="29" t="n"/>
    </row>
    <row r="978">
      <c r="O978" s="29" t="n"/>
    </row>
    <row r="979">
      <c r="O979" s="29" t="n"/>
    </row>
    <row r="980">
      <c r="O980" s="29" t="n"/>
    </row>
    <row r="981">
      <c r="O981" s="29" t="n"/>
    </row>
    <row r="982">
      <c r="O982" s="29" t="n"/>
    </row>
    <row r="983">
      <c r="O983" s="29" t="n"/>
    </row>
    <row r="984">
      <c r="O984" s="29" t="n"/>
    </row>
    <row r="985">
      <c r="O985" s="29" t="n"/>
    </row>
    <row r="986">
      <c r="O986" s="29" t="n"/>
    </row>
    <row r="987">
      <c r="O987" s="29" t="n"/>
    </row>
    <row r="988">
      <c r="O988" s="29" t="n"/>
    </row>
    <row r="989">
      <c r="O989" s="29" t="n"/>
    </row>
    <row r="990">
      <c r="O990" s="29" t="n"/>
    </row>
    <row r="991">
      <c r="O991" s="29" t="n"/>
    </row>
    <row r="992">
      <c r="O992" s="29" t="n"/>
    </row>
    <row r="993">
      <c r="O993" s="29" t="n"/>
    </row>
    <row r="994">
      <c r="O994" s="29" t="n"/>
    </row>
    <row r="995">
      <c r="O995" s="29" t="n"/>
    </row>
    <row r="996">
      <c r="O996" s="29" t="n"/>
    </row>
    <row r="997">
      <c r="O997" s="29" t="n"/>
    </row>
    <row r="998">
      <c r="O998" s="29" t="n"/>
    </row>
    <row r="999">
      <c r="O999" s="29" t="n"/>
    </row>
    <row r="1000">
      <c r="O1000" s="29" t="n"/>
    </row>
  </sheetData>
  <dataValidations count="1">
    <dataValidation sqref="O2:O1000" showDropDown="0" showInputMessage="0" showErrorMessage="1" allowBlank="1" type="list">
      <formula1>"NEW,EMAIL_1_SENT,FOLLOWUP_1_SENT,FOLLOWUP_2_SENT,FOLLOWUP_3_SENT,REPLIED,INVALID,DO_NOT_CONTACT,NOT_INTERESTED_SERVICE_1,SERVICE_2_ACTIVE,NOT_INTERESTED_SERVICE_2,COMPLETED"</formula1>
    </dataValidation>
  </dataValidations>
  <hyperlinks>
    <hyperlink xmlns:r="http://schemas.openxmlformats.org/officeDocument/2006/relationships" ref="D2" r:id="rId1"/>
    <hyperlink xmlns:r="http://schemas.openxmlformats.org/officeDocument/2006/relationships" ref="E2" r:id="rId2"/>
    <hyperlink xmlns:r="http://schemas.openxmlformats.org/officeDocument/2006/relationships" ref="D3" r:id="rId3"/>
    <hyperlink xmlns:r="http://schemas.openxmlformats.org/officeDocument/2006/relationships" ref="E3"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D9" r:id="rId8"/>
    <hyperlink xmlns:r="http://schemas.openxmlformats.org/officeDocument/2006/relationships" ref="E9" r:id="rId9"/>
    <hyperlink xmlns:r="http://schemas.openxmlformats.org/officeDocument/2006/relationships" ref="D10" r:id="rId10"/>
    <hyperlink xmlns:r="http://schemas.openxmlformats.org/officeDocument/2006/relationships" ref="E10" r:id="rId11"/>
    <hyperlink xmlns:r="http://schemas.openxmlformats.org/officeDocument/2006/relationships" ref="D11" r:id="rId12"/>
    <hyperlink xmlns:r="http://schemas.openxmlformats.org/officeDocument/2006/relationships" ref="E11" r:id="rId13"/>
    <hyperlink xmlns:r="http://schemas.openxmlformats.org/officeDocument/2006/relationships" ref="D12" r:id="rId14"/>
    <hyperlink xmlns:r="http://schemas.openxmlformats.org/officeDocument/2006/relationships" ref="E12" r:id="rId15"/>
    <hyperlink xmlns:r="http://schemas.openxmlformats.org/officeDocument/2006/relationships" ref="D13" r:id="rId16"/>
    <hyperlink xmlns:r="http://schemas.openxmlformats.org/officeDocument/2006/relationships" ref="E13" r:id="rId17"/>
    <hyperlink xmlns:r="http://schemas.openxmlformats.org/officeDocument/2006/relationships" ref="D14" r:id="rId18"/>
    <hyperlink xmlns:r="http://schemas.openxmlformats.org/officeDocument/2006/relationships" ref="E14" r:id="rId19"/>
    <hyperlink xmlns:r="http://schemas.openxmlformats.org/officeDocument/2006/relationships" ref="D15" r:id="rId20"/>
    <hyperlink xmlns:r="http://schemas.openxmlformats.org/officeDocument/2006/relationships" ref="E15" r:id="rId21"/>
    <hyperlink xmlns:r="http://schemas.openxmlformats.org/officeDocument/2006/relationships" ref="D16" r:id="rId22"/>
    <hyperlink xmlns:r="http://schemas.openxmlformats.org/officeDocument/2006/relationships" ref="E16" r:id="rId23"/>
    <hyperlink xmlns:r="http://schemas.openxmlformats.org/officeDocument/2006/relationships" ref="D17" r:id="rId24"/>
    <hyperlink xmlns:r="http://schemas.openxmlformats.org/officeDocument/2006/relationships" ref="E17" r:id="rId25"/>
    <hyperlink xmlns:r="http://schemas.openxmlformats.org/officeDocument/2006/relationships" ref="D18" r:id="rId26"/>
    <hyperlink xmlns:r="http://schemas.openxmlformats.org/officeDocument/2006/relationships" ref="E18" r:id="rId27"/>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J16"/>
  <sheetViews>
    <sheetView workbookViewId="0">
      <selection activeCell="A1" sqref="A1"/>
    </sheetView>
  </sheetViews>
  <sheetFormatPr baseColWidth="8" defaultColWidth="12.63" defaultRowHeight="15.75" customHeight="1"/>
  <sheetData>
    <row r="1">
      <c r="A1" s="3" t="inlineStr">
        <is>
          <t>Lead ID</t>
        </is>
      </c>
      <c r="B1" s="3" t="inlineStr">
        <is>
          <t>Company</t>
        </is>
      </c>
      <c r="C1" s="3" t="inlineStr">
        <is>
          <t>Website</t>
        </is>
      </c>
      <c r="D1" s="3" t="inlineStr">
        <is>
          <t>Company Summary</t>
        </is>
      </c>
      <c r="E1" s="3" t="inlineStr">
        <is>
          <t>Services Found</t>
        </is>
      </c>
      <c r="F1" s="3" t="inlineStr">
        <is>
          <t>Target Audience</t>
        </is>
      </c>
      <c r="G1" s="3" t="inlineStr">
        <is>
          <t>Value Proposition</t>
        </is>
      </c>
      <c r="H1" s="3" t="inlineStr">
        <is>
          <t xml:space="preserve">Useful Facts </t>
        </is>
      </c>
      <c r="I1" s="3" t="inlineStr">
        <is>
          <t>Researched Confidence</t>
        </is>
      </c>
      <c r="J1" s="3" t="inlineStr">
        <is>
          <t>Researched At</t>
        </is>
      </c>
    </row>
    <row r="2">
      <c r="A2" s="29" t="n">
        <v>1</v>
      </c>
      <c r="B2" s="29" t="inlineStr">
        <is>
          <t>Tiwari Enterprises</t>
        </is>
      </c>
      <c r="C2" s="7" t="inlineStr">
        <is>
          <t>https://djgam454.github.io/Portfolio-Website/</t>
        </is>
      </c>
      <c r="D2" s="29" t="inlineStr">
        <is>
          <t>unknown</t>
        </is>
      </c>
      <c r="E2" s="29" t="inlineStr">
        <is>
          <t>[]</t>
        </is>
      </c>
      <c r="F2" s="29" t="inlineStr">
        <is>
          <t>unknown</t>
        </is>
      </c>
      <c r="G2" s="29" t="inlineStr">
        <is>
          <t>unknown</t>
        </is>
      </c>
      <c r="H2" s="29" t="inlineStr">
        <is>
          <t>[]</t>
        </is>
      </c>
      <c r="I2" s="29" t="inlineStr">
        <is>
          <t>low</t>
        </is>
      </c>
      <c r="J2" s="8" t="n">
        <v>46231.65797392361</v>
      </c>
    </row>
    <row r="3">
      <c r="A3" s="29" t="n">
        <v>2</v>
      </c>
      <c r="B3" s="29" t="inlineStr">
        <is>
          <t>Kant Productions</t>
        </is>
      </c>
      <c r="C3" s="7" t="inlineStr">
        <is>
          <t>https://www.dynamisers.com/</t>
        </is>
      </c>
      <c r="D3" s="29" t="inlineStr">
        <is>
          <t>Dynamisers is a digital marketing and web development agency based in Delhi, India, with over 11 years of experience. They provide end-to-end design, development, and marketing solutions to help startups, SMEs, and enterprises build powerful brand identities and scale their digital presence.</t>
        </is>
      </c>
      <c r="E3" s="29" t="inlineStr">
        <is>
          <t>["Digital Marketing","Web Development","Mobile Development","Search Engine Optimization","Social Media Management"]</t>
        </is>
      </c>
      <c r="F3" s="29" t="inlineStr">
        <is>
          <t>Startups, SMEs, and enterprises looking to scale their digital presence and brand identity.</t>
        </is>
      </c>
      <c r="G3" s="29" t="inlineStr">
        <is>
          <t>Blending intuition with strategy and technical expertise to deliver customized digital marketing and web solutions that scale businesses.</t>
        </is>
      </c>
      <c r="H3" s="29" t="inlineStr">
        <is>
          <t>["The company is based in Delhi, India, with over 11 years of operational experience.","They offer specialized services including graphic design, application development, and pay-per-click advertising.","They cater to multiple industries such as education, healthcare, fashion, and retail."]</t>
        </is>
      </c>
      <c r="I3" s="29" t="inlineStr">
        <is>
          <t>high</t>
        </is>
      </c>
      <c r="J3" s="8" t="n">
        <v>46231.6594921875</v>
      </c>
    </row>
    <row r="4">
      <c r="A4" s="29" t="n">
        <v>3</v>
      </c>
      <c r="B4" s="29" t="inlineStr">
        <is>
          <t>Dynamisers</t>
        </is>
      </c>
      <c r="C4" s="7" t="inlineStr">
        <is>
          <t>https://www.dynamisers.com/</t>
        </is>
      </c>
      <c r="D4" s="29" t="inlineStr">
        <is>
          <t>Dynamisers is a digital marketing and web development agency based in Delhi, India, with over 11 years of experience providing end-to-end design, development, and marketing solutions for startups, SMEs, and global enterprises.</t>
        </is>
      </c>
      <c r="E4" s="29" t="inlineStr">
        <is>
          <t>["Web Development","Digital Marketing","Search Engine Optimization","Social Media Management","Graphics Designing"]</t>
        </is>
      </c>
      <c r="F4" s="29" t="inlineStr">
        <is>
          <t>Startups, SMEs, and enterprises across industries like education, healthcare, fashion, and retail looking to scale their digital presence.</t>
        </is>
      </c>
      <c r="G4" s="29" t="inlineStr">
        <is>
          <t>Blending intuition with strategy to translate brand stories into digital experiences that persuade, convert, and scale businesses globally.</t>
        </is>
      </c>
      <c r="H4" s="29" t="inlineStr">
        <is>
          <t>["The company is based in Rajouri Garden, New Delhi, India.","They have over 11 years of industry experience.","They have completed projects across multiple international markets including the UK, EU, USA, UAE, China, and Australia."]</t>
        </is>
      </c>
      <c r="I4" s="29" t="inlineStr">
        <is>
          <t>high</t>
        </is>
      </c>
      <c r="J4" s="8" t="n">
        <v>46231.81073005787</v>
      </c>
    </row>
    <row r="5">
      <c r="A5" s="29" t="n">
        <v>4</v>
      </c>
      <c r="B5" s="29" t="inlineStr">
        <is>
          <t>Open AI</t>
        </is>
      </c>
      <c r="C5" s="7" t="inlineStr">
        <is>
          <t>https://openai.com/</t>
        </is>
      </c>
      <c r="D5" s="29" t="inlineStr">
        <is>
          <t>OpenAI is an AI research and deployment company that creates artificial intelligence products, tools, and application programming interfaces for individuals, businesses, and developers.</t>
        </is>
      </c>
      <c r="E5" s="29" t="inlineStr">
        <is>
          <t>["ChatGPT","ChatGPT Business","ChatGPT Enterprise","ChatGPT for Education","API Platform"]</t>
        </is>
      </c>
      <c r="F5" s="29" t="inlineStr">
        <is>
          <t>Individuals, businesses, developers, and educational institutions</t>
        </is>
      </c>
      <c r="G5" s="29" t="inlineStr">
        <is>
          <t>Frontier intelligence that scales with your ambition</t>
        </is>
      </c>
      <c r="H5" s="29" t="inlineStr">
        <is>
          <t>["OpenAI provides research and deployment of artificial intelligence models.","The company offers developer tools including an API platform and Codex.","Products span personal use, business solutions, and educational applications."]</t>
        </is>
      </c>
      <c r="I5" s="29" t="inlineStr">
        <is>
          <t>high</t>
        </is>
      </c>
      <c r="J5" s="8" t="n">
        <v>46232.65561715278</v>
      </c>
    </row>
    <row r="6">
      <c r="A6" s="29" t="n">
        <v>5</v>
      </c>
      <c r="B6" s="29" t="inlineStr">
        <is>
          <t>Kartik Enterprises</t>
        </is>
      </c>
      <c r="C6" s="7" t="inlineStr">
        <is>
          <t>https://kartik.com/</t>
        </is>
      </c>
      <c r="D6" s="29" t="inlineStr">
        <is>
          <t>Kartik Enterprises operates a premium domain portfolio featuring 737 active domains across categories like finance, tech, Vaastu, and matrimonial services, offering secure transfer options via Escrow.com or GoDaddy.</t>
        </is>
      </c>
      <c r="E6" s="29" t="inlineStr">
        <is>
          <t>["Domain portfolio sales","Secure domain transfer via Escrow.com","Domain brokerage and offers"]</t>
        </is>
      </c>
      <c r="F6" s="29" t="inlineStr">
        <is>
          <t>Domain buyers, investors, and businesses looking to acquire premium domain names</t>
        </is>
      </c>
      <c r="G6" s="29" t="inlineStr">
        <is>
          <t>Access to a diverse portfolio of 737 active domains with secure escrow transfer and consideration for all offers</t>
        </is>
      </c>
      <c r="H6" s="29" t="inlineStr">
        <is>
          <t>["Manages 737 active domains across 20 categories","Handles transfers securely via Escrow.com or GoDaddy domain push","Contactable via email at kartik@kartik.com or phone/WhatsApp at +1 312 900 2033"]</t>
        </is>
      </c>
      <c r="I6" s="29" t="inlineStr">
        <is>
          <t>high</t>
        </is>
      </c>
      <c r="J6" s="8" t="n">
        <v>46232.75568430556</v>
      </c>
    </row>
    <row r="7">
      <c r="A7" s="29" t="n">
        <v>6</v>
      </c>
      <c r="B7" s="29" t="inlineStr">
        <is>
          <t>Blue Bottle Coffee</t>
        </is>
      </c>
      <c r="C7" s="7" t="inlineStr">
        <is>
          <t>https://bluebottlecoffee.com</t>
        </is>
      </c>
      <c r="D7" s="29" t="inlineStr">
        <is>
          <t>Blue Bottle Coffee is a specialty coffee roaster and retailer offering freshly roasted single-origin coffees, signature blends, matcha, drinkware, and brewing tools through online subscriptions, retail products, and physical cafes.</t>
        </is>
      </c>
      <c r="E7" s="29" t="inlineStr">
        <is>
          <t>["Specialty coffee beans and subscriptions","Craft instant coffee and espresso","Matcha and roasted green tea (Hōjicha)","Coffee brewing tools and equipment","Drinkware and cafe syrups"]</t>
        </is>
      </c>
      <c r="F7" s="29" t="inlineStr">
        <is>
          <t>Coffee and matcha enthusiasts seeking specialty, craft-quality beverages and brewing equipment for home or cafe consumption.</t>
        </is>
      </c>
      <c r="G7" s="29" t="inlineStr">
        <is>
          <t>Providing meticulously crafted, freshly roasted specialty coffees and seasonal blends designed to elevate everyday coffee rituals.</t>
        </is>
      </c>
      <c r="H7" s="29" t="inlineStr">
        <is>
          <t>["Offers flexible coffee and matcha home subscriptions with customizable delivery schedules.","Operates physical brick-and-mortar cafe locations alongside its e-commerce store.","Provides proprietary items such as Craft Instant Coffee, Craft Matcha, and cafe syrups."]</t>
        </is>
      </c>
      <c r="I7" s="29" t="inlineStr">
        <is>
          <t>high</t>
        </is>
      </c>
      <c r="J7" s="8" t="n">
        <v>46233.65570662037</v>
      </c>
    </row>
    <row r="8">
      <c r="A8" s="29" t="n">
        <v>7</v>
      </c>
      <c r="B8" s="29" t="inlineStr">
        <is>
          <t>Notion</t>
        </is>
      </c>
      <c r="C8" s="7" t="inlineStr">
        <is>
          <t>https://www.notion.so</t>
        </is>
      </c>
      <c r="D8" s="29" t="inlineStr">
        <is>
          <t>Notion provides a connected AI-powered workspace platform that combines docs, knowledge bases, projects, custom agents, and a calendar to help teams and individuals automate tasks, centralize knowledge, and manage workflows.</t>
        </is>
      </c>
      <c r="E8" s="29" t="inlineStr">
        <is>
          <t>["Notion AI tools","Knowledge Base","Projects","Notion Calendar","Custom Agents"]</t>
        </is>
      </c>
      <c r="F8" s="29" t="inlineStr">
        <is>
          <t>Teams, startups, small businesses, enterprises, and individuals seeking a unified digital workspace and project management tool.</t>
        </is>
      </c>
      <c r="G8" s="29" t="inlineStr">
        <is>
          <t>Bring docs, knowledge bases, projects, and AI-driven automation together into a single platform to streamline workflows and keep teams informed.</t>
        </is>
      </c>
      <c r="H8" s="29" t="inlineStr">
        <is>
          <t>["Over 100 million users worldwide use the platform.","Features built-in AI tools including custom agents, enterprise search, and meeting notes.","Serves multiple team sizes from startups and small businesses to enterprise organizations."]</t>
        </is>
      </c>
      <c r="I8" s="29" t="inlineStr">
        <is>
          <t>high</t>
        </is>
      </c>
      <c r="J8" s="8" t="n">
        <v>46233.65575192129</v>
      </c>
    </row>
    <row r="9">
      <c r="A9" s="29" t="n">
        <v>8</v>
      </c>
      <c r="B9" s="29" t="inlineStr">
        <is>
          <t>Canva</t>
        </is>
      </c>
      <c r="C9" s="7" t="inlineStr">
        <is>
          <t>https://www.canva.com</t>
        </is>
      </c>
      <c r="D9" s="29" t="inlineStr">
        <is>
          <t>Canva is an online visual suite and graphic design platform offering a wide range of tools for creating social media posts, presentations, videos, websites, and print products.</t>
        </is>
      </c>
      <c r="E9" s="29" t="inlineStr">
        <is>
          <t>["Video editor","Photo editor","Presentation maker","Website builder","AI image generator"]</t>
        </is>
      </c>
      <c r="F9" s="29" t="inlineStr">
        <is>
          <t>Individuals, small businesses, enterprises, educators, and students looking for visual creation and design tools.</t>
        </is>
      </c>
      <c r="G9" s="29" t="inlineStr">
        <is>
          <t>An all-in-one visual suite providing easy-to-use design tools, templates, and AI capabilities for everyone.</t>
        </is>
      </c>
      <c r="H9" s="29" t="inlineStr">
        <is>
          <t>["Offers a comprehensive visual suite including docs, whiteboards, presentations, and social media tools.","Features Canva AI tools like Magic Write, Magic Animate, and Magic Resize.","Provides specific plans tailored for individuals, teams, enterprises, and education."]</t>
        </is>
      </c>
      <c r="I9" s="29" t="inlineStr">
        <is>
          <t>high</t>
        </is>
      </c>
      <c r="J9" s="8" t="n">
        <v>46233.65580003472</v>
      </c>
    </row>
    <row r="10">
      <c r="A10" s="29" t="n">
        <v>9</v>
      </c>
      <c r="B10" s="29" t="inlineStr">
        <is>
          <t>Zapier</t>
        </is>
      </c>
      <c r="C10" s="7" t="inlineStr">
        <is>
          <t>https://zapier.com</t>
        </is>
      </c>
      <c r="D10" s="29" t="inlineStr">
        <is>
          <t>Zapier provides a no-code automation platform that connects thousands of everyday apps, workflows, and AI tools to help businesses streamline operations and build automated systems.</t>
        </is>
      </c>
      <c r="E10" s="29" t="inlineStr">
        <is>
          <t>["Zap workflows","Zapier Tables","Zapier Forms","Zapier Agents","Zapier Chatbots"]</t>
        </is>
      </c>
      <c r="F10" s="29" t="inlineStr">
        <is>
          <t>Businesses ranging from startups and small-to-medium businesses to enterprises, including teams across marketing, sales, IT, HR, and customer support.</t>
        </is>
      </c>
      <c r="G10" s="29" t="inlineStr">
        <is>
          <t>Automate workflows and connect over 9,000 apps and AI tools without writing code, enabling teams to save time and scale processes.</t>
        </is>
      </c>
      <c r="H10" s="29" t="inlineStr">
        <is>
          <t>["Supports connections across more than 9,000 apps.","Provides enterprise-grade features including SOC 2 and SOC 3 compliance, GDPR compliance, and SAML-based SSO.","Includes built-in tools like Tables and Forms to store data and capture inputs for workflows."]</t>
        </is>
      </c>
      <c r="I10" s="29" t="inlineStr">
        <is>
          <t>high</t>
        </is>
      </c>
      <c r="J10" s="8" t="n">
        <v>46233.6558580787</v>
      </c>
    </row>
    <row r="11">
      <c r="A11" s="29" t="n">
        <v>10</v>
      </c>
      <c r="B11" s="29" t="inlineStr">
        <is>
          <t>Figma</t>
        </is>
      </c>
      <c r="C11" s="7" t="inlineStr">
        <is>
          <t>https://www.figma.com</t>
        </is>
      </c>
      <c r="D11" s="29" t="inlineStr">
        <is>
          <t>Figma is a collaborative interface design tool that enables teams to design, prototype, and build products together in the browser.</t>
        </is>
      </c>
      <c r="E11" s="29" t="inlineStr">
        <is>
          <t>["Design","Prototyping","FigJam collaborative whiteboarding","Design systems","Code generation and handoff"]</t>
        </is>
      </c>
      <c r="F11" s="29" t="inlineStr">
        <is>
          <t>Designers, developers, product managers, and cross-functional teams</t>
        </is>
      </c>
      <c r="G11" s="29" t="inlineStr">
        <is>
          <t>Bring teams together to build products faster through collaborative design and brainstorming in a single platform.</t>
        </is>
      </c>
      <c r="H11" s="29" t="inlineStr">
        <is>
          <t>["Provides tools for both UI/UX design and team brainstorming via FigJam","Offers features to connect design work with code handoff"]</t>
        </is>
      </c>
      <c r="I11" s="29" t="inlineStr">
        <is>
          <t>high</t>
        </is>
      </c>
      <c r="J11" s="8" t="n">
        <v>46233.65590497685</v>
      </c>
    </row>
    <row r="12">
      <c r="A12" s="29" t="n">
        <v>11</v>
      </c>
      <c r="B12" s="29" t="inlineStr">
        <is>
          <t>HubSpot</t>
        </is>
      </c>
      <c r="C12" s="7" t="inlineStr">
        <is>
          <t>https://www.hubspot.com</t>
        </is>
      </c>
      <c r="D12" s="29" t="inlineStr">
        <is>
          <t>HubSpot offers an all-in-one customer platform featuring marketing, sales, customer service, content management, data management, and billing software powered by a smart CRM and artificial intelligence tools.</t>
        </is>
      </c>
      <c r="E12" s="29" t="inlineStr">
        <is>
          <t>["Marketing Hub","Sales Hub","Service Hub","Content Hub","Smart CRM"]</t>
        </is>
      </c>
      <c r="F12" s="29" t="inlineStr">
        <is>
          <t>Go-to-market teams, startups, small businesses, and enterprises looking to unite marketing, sales, and customer service operations.</t>
        </is>
      </c>
      <c r="G12" s="29" t="inlineStr">
        <is>
          <t>Unite marketing, sales, and customer service on one agentic customer platform that connects data and tools to make growing a business easier.</t>
        </is>
      </c>
      <c r="H12" s="29" t="inlineStr">
        <is>
          <t>["Offers a Smart CRM that functions as a single source of truth connecting business data.","Includes Agent Hub for building and managing AI agents across the platform.","Provides over 2,000 app integrations with tools like Gmail, Shopify, and Salesforce."]</t>
        </is>
      </c>
      <c r="I12" s="29" t="inlineStr">
        <is>
          <t>high</t>
        </is>
      </c>
      <c r="J12" s="8" t="n">
        <v>46233.65594916666</v>
      </c>
    </row>
    <row r="13">
      <c r="A13" s="29" t="n">
        <v>12</v>
      </c>
      <c r="B13" s="29" t="inlineStr">
        <is>
          <t>Webflow</t>
        </is>
      </c>
      <c r="C13" s="7" t="inlineStr">
        <is>
          <t>https://webflow.com</t>
        </is>
      </c>
      <c r="D13" s="29" t="inlineStr">
        <is>
          <t>Webflow provides an agentic web platform for modern businesses, allowing marketers, designers, developers, and agencies to build, manage, and optimize websites and web experiences visually and with AI tools.</t>
        </is>
      </c>
      <c r="E13" s="29" t="inlineStr">
        <is>
          <t>["Visual web design and page building","Composable CMS and content management","Web hosting and security","Webflow AI and AEO (Answer Engine Optimization)","Webflow MCP (Model Context Protocol) and developer integrations"]</t>
        </is>
      </c>
      <c r="F13" s="29" t="inlineStr">
        <is>
          <t>Marketers, designers, developers, agencies, and enterprise businesses</t>
        </is>
      </c>
      <c r="G13" s="29" t="inlineStr">
        <is>
          <t>Build websites that drive results by combining design, content management, AI features, and optimization into a single platform without traditional developer bottlenecks.</t>
        </is>
      </c>
      <c r="H13" s="29" t="inlineStr">
        <is>
          <t>["Webflow offers an AEO feature to optimize sites for AI-driven search.","The platform includes a Model Context Protocol (MCP) server for connecting AI agents and IDEs.","Webflow provides a visual-first CMS and hosting environment."]</t>
        </is>
      </c>
      <c r="I13" s="29" t="inlineStr">
        <is>
          <t>high</t>
        </is>
      </c>
      <c r="J13" s="8" t="n">
        <v>46233.65599674769</v>
      </c>
    </row>
    <row r="14">
      <c r="A14" s="29" t="n">
        <v>13</v>
      </c>
      <c r="B14" s="29" t="inlineStr">
        <is>
          <t>Ahrefs</t>
        </is>
      </c>
      <c r="C14" s="7" t="inlineStr">
        <is>
          <t>https://ahrefs.com</t>
        </is>
      </c>
      <c r="D14" s="29" t="inlineStr">
        <is>
          <t>Ahrefs is an AI marketing platform and search analytics company powered by big data, offering tools for search marketing, website performance, content marketing, competitive intelligence, and local SEO.</t>
        </is>
      </c>
      <c r="E14" s="29" t="inlineStr">
        <is>
          <t>["Site Explorer","Keywords Explorer","Rank Tracker","Site Audit","Web Analytics"]</t>
        </is>
      </c>
      <c r="F14" s="29" t="inlineStr">
        <is>
          <t>Marketers, SEO professionals, agencies, content creators, enterprises, and businesses looking to grow search traffic and brand visibility.</t>
        </is>
      </c>
      <c r="G14" s="29" t="inlineStr">
        <is>
          <t>Provides tools and data to grow a brand's traffic, visibility, and revenue across search engines and AI platforms.</t>
        </is>
      </c>
      <c r="H14" s="29" t="inlineStr">
        <is>
          <t>["Tracks billions of keywords and web pages through a proprietary web index.","Serves marketers across various roles including SEO, PPC, content, and brand management.","Provides enterprise features such as flexible API endpoints and SSO integration."]</t>
        </is>
      </c>
      <c r="I14" s="29" t="inlineStr">
        <is>
          <t>high</t>
        </is>
      </c>
      <c r="J14" s="8" t="n">
        <v>46233.65603804398</v>
      </c>
    </row>
    <row r="15">
      <c r="A15" s="29" t="n">
        <v>14</v>
      </c>
      <c r="B15" s="29" t="inlineStr">
        <is>
          <t>Semrush</t>
        </is>
      </c>
      <c r="C15" s="7" t="inlineStr">
        <is>
          <t>https://www.semrush.com</t>
        </is>
      </c>
      <c r="D15" s="29" t="inlineStr">
        <is>
          <t>Semrush is a digital marketing platform offering solutions for SEO, AI search visibility, content creation, market analysis, advertising, and social media management.</t>
        </is>
      </c>
      <c r="E15" s="29" t="inlineStr">
        <is>
          <t>["SEO and AI search solution (Semrush One)","Keyword Research and Rank Tracking","Content Creation and Technical Site Health","Traffic and Market Analysis","AI Brand Sentiment and Backlink Analysis"]</t>
        </is>
      </c>
      <c r="F15" s="29" t="inlineStr">
        <is>
          <t>Enterprises, mid-market companies, small teams, solopreneurs, freelancers, and marketing agencies across various roles and industries.</t>
        </is>
      </c>
      <c r="G15" s="29" t="inlineStr">
        <is>
          <t>Helps brands grow and measure brand visibility across traditional search engines and AI channels using trusted SEO and competitive data.</t>
        </is>
      </c>
      <c r="H15" s="29" t="inlineStr">
        <is>
          <t>["Features a database covering 28 billion keywords and 43 trillion backlinks.","Provides tools tracking 808 million domain profiles across 142 geo databases.","Offers integration options to bring live SEO and visibility data directly into AI assistants like ChatGPT."]</t>
        </is>
      </c>
      <c r="I15" s="29" t="inlineStr">
        <is>
          <t>high</t>
        </is>
      </c>
      <c r="J15" s="8" t="n">
        <v>46233.6560821875</v>
      </c>
    </row>
    <row r="16">
      <c r="A16" s="29" t="n">
        <v>15</v>
      </c>
      <c r="B16" s="29" t="inlineStr">
        <is>
          <t>ClickUp</t>
        </is>
      </c>
      <c r="C16" s="7" t="inlineStr">
        <is>
          <t>https://clickup.com</t>
        </is>
      </c>
      <c r="D16" s="29" t="inlineStr">
        <is>
          <t>ClickUp offers a productivity platform that combines project management, documentation, chat, calendars, whiteboards, and AI tools to replace fragmented software and streamline team workflows.</t>
        </is>
      </c>
      <c r="E16" s="29" t="inlineStr">
        <is>
          <t>["Project Management","ClickUp Brain (AI)","Chat","Docs","Whiteboards"]</t>
        </is>
      </c>
      <c r="F16" s="29" t="inlineStr">
        <is>
          <t>Teams, departments, and companies across various functions like marketing, product and engineering, IT, HR, and leadership</t>
        </is>
      </c>
      <c r="G16" s="29" t="inlineStr">
        <is>
          <t>Software to replace all software, saving money and time by bringing all apps, AI, projects, and chat together with perfect context.</t>
        </is>
      </c>
      <c r="H16" s="29" t="inlineStr">
        <is>
          <t>["Features AI agents and workflows designed to automate tasks across different teams.","Provides a unified workspace featuring time tracking, goals, dashboards, and automated workflows."]</t>
        </is>
      </c>
      <c r="I16" s="29" t="inlineStr">
        <is>
          <t>high</t>
        </is>
      </c>
      <c r="J16" s="8" t="n">
        <v>46233.73454681713</v>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C4"/>
  <sheetViews>
    <sheetView workbookViewId="0">
      <selection activeCell="A1" sqref="A1"/>
    </sheetView>
  </sheetViews>
  <sheetFormatPr baseColWidth="8" defaultColWidth="12.63" defaultRowHeight="15.75" customHeight="1"/>
  <sheetData>
    <row r="1">
      <c r="A1" s="2" t="inlineStr">
        <is>
          <t>Order</t>
        </is>
      </c>
      <c r="B1" s="1" t="inlineStr">
        <is>
          <t>Service</t>
        </is>
      </c>
      <c r="C1" s="1" t="inlineStr">
        <is>
          <t>Active</t>
        </is>
      </c>
    </row>
    <row r="2">
      <c r="A2" s="4" t="n">
        <v>1</v>
      </c>
      <c r="B2" s="29" t="inlineStr">
        <is>
          <t>Website Development</t>
        </is>
      </c>
      <c r="C2" s="29" t="b">
        <v>1</v>
      </c>
    </row>
    <row r="3">
      <c r="A3" s="4" t="n">
        <v>2</v>
      </c>
      <c r="B3" s="29" t="inlineStr">
        <is>
          <t>SEO</t>
        </is>
      </c>
      <c r="C3" s="29" t="b">
        <v>1</v>
      </c>
    </row>
    <row r="4">
      <c r="A4" s="4" t="n">
        <v>3</v>
      </c>
      <c r="B4" s="29" t="inlineStr">
        <is>
          <t>Google Ads</t>
        </is>
      </c>
      <c r="C4" s="29" t="b">
        <v>1</v>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M25"/>
  <sheetViews>
    <sheetView workbookViewId="0">
      <selection activeCell="A1" sqref="A1"/>
    </sheetView>
  </sheetViews>
  <sheetFormatPr baseColWidth="8" defaultColWidth="12.63" defaultRowHeight="15.75" customHeight="1"/>
  <cols>
    <col width="24" customWidth="1" style="53" min="1" max="1"/>
    <col width="14" customWidth="1" style="53" min="2" max="2"/>
    <col width="42" customWidth="1" style="53" min="3" max="3"/>
    <col width="70" customWidth="1" style="53" min="4" max="4"/>
    <col width="10" customWidth="1" style="53" min="5" max="5"/>
    <col width="70" customWidth="1" style="53" min="6" max="6"/>
    <col width="24" customWidth="1" style="53" min="7" max="7"/>
    <col width="50" customWidth="1" style="53" min="8" max="8"/>
    <col width="12" customWidth="1" style="53" min="9" max="9"/>
    <col width="50" customWidth="1" style="53" min="10" max="10"/>
    <col width="50" customWidth="1" style="53" min="11" max="11"/>
    <col width="10" customWidth="1" style="53" min="12" max="12"/>
    <col width="40" customWidth="1" style="53" min="13" max="13"/>
  </cols>
  <sheetData>
    <row r="1">
      <c r="A1" s="54" t="inlineStr">
        <is>
          <t>Service</t>
        </is>
      </c>
      <c r="B1" s="54" t="inlineStr">
        <is>
          <t>Campaign Step</t>
        </is>
      </c>
      <c r="C1" s="54" t="inlineStr">
        <is>
          <t>Subject</t>
        </is>
      </c>
      <c r="D1" s="54" t="inlineStr">
        <is>
          <t>Plain Text Template</t>
        </is>
      </c>
      <c r="E1" s="54" t="inlineStr">
        <is>
          <t>Variant ID</t>
        </is>
      </c>
      <c r="F1" s="54" t="inlineStr">
        <is>
          <t>HTML Template</t>
        </is>
      </c>
      <c r="G1" s="54" t="inlineStr">
        <is>
          <t>CTA Button Text</t>
        </is>
      </c>
      <c r="H1" s="54" t="inlineStr">
        <is>
          <t>CTA URL</t>
        </is>
      </c>
      <c r="I1" s="54" t="inlineStr">
        <is>
          <t>Theme</t>
        </is>
      </c>
      <c r="J1" s="54" t="inlineStr">
        <is>
          <t>Hero Image</t>
        </is>
      </c>
      <c r="K1" s="54" t="inlineStr">
        <is>
          <t>Portfolio Image</t>
        </is>
      </c>
      <c r="L1" s="54" t="inlineStr">
        <is>
          <t>Status</t>
        </is>
      </c>
      <c r="M1" s="54" t="inlineStr">
        <is>
          <t>Notes</t>
        </is>
      </c>
    </row>
    <row r="2">
      <c r="A2" t="inlineStr">
        <is>
          <t>Website Development</t>
        </is>
      </c>
      <c r="B2" t="inlineStr">
        <is>
          <t>EMAIL_1</t>
        </is>
      </c>
      <c r="C2" t="inlineStr">
        <is>
          <t>A website idea for {{Company}}</t>
        </is>
      </c>
      <c r="D2" t="inlineStr">
        <is>
          <t>Hi {{FirstName}},
{{PersonalisedIntro}}
At Dynamisers we build websites that do more than look good — they turn visitors into enquiries. Most businesses we speak to are leaving that on the table.
If you're open to it, I'd love to share one quick idea specific to {{Company}} — no cost, no commitment.
A few things we focus on:
{{Features}}
CTA: {{CtaText}} — {{CtaUrl}}
Regards,
{{SenderName}}
{{SenderRole}}, {{CompanyName}}
{{ReplyToEmail}} · {{CompanyWebsite}}
{{UnsubscribeMessage}}</t>
        </is>
      </c>
      <c r="E2" t="n">
        <v>1</v>
      </c>
      <c r="F2" t="inlineStr">
        <is>
          <t>{{Header}}
{{Hero}}
&lt;div style="padding:12px 32px 0;font-size:15px;color:#334155;line-height:1.65;font-family:Arial,Helvetica,sans-serif;"&gt;Hi {{FirstName}},&lt;/div&gt;
&lt;div style="padding:12px 32px 0;font-size:15px;color:#334155;line-height:1.65;font-family:Arial,Helvetica,sans-serif;"&gt;{{PersonalisedIntro}}&lt;/div&gt;
&lt;div style="padding:12px 32px 0;font-size:15px;color:#334155;line-height:1.65;font-family:Arial,Helvetica,sans-serif;"&gt;At Dynamisers we build websites that do more than look good — they turn visitors into enquiries. Most businesses we speak to are leaving that on the table.&lt;/div&gt;
&lt;div style="padding:12px 32px 0;font-size:15px;color:#334155;line-height:1.65;font-family:Arial,Helvetica,sans-serif;"&gt;If you're open to it, I'd love to share one quick idea specific to {{Company}} — no cost, no commitment.&lt;/div&gt;
{{FeatureList}}
{{PortfolioShowcase}}
{{CtaButton}}
{{Divider}}
{{SignatureBlock}}
{{SocialLinks}}
{{Footer}}
{{UnsubscribeBlock}}</t>
        </is>
      </c>
      <c r="G2" t="inlineStr">
        <is>
          <t>Reply and let's talk</t>
        </is>
      </c>
      <c r="H2" t="inlineStr"/>
      <c r="I2" t="inlineStr"/>
      <c r="J2" t="inlineStr"/>
      <c r="K2" t="inlineStr"/>
      <c r="L2" t="inlineStr">
        <is>
          <t>ACTIVE</t>
        </is>
      </c>
      <c r="M2" t="inlineStr">
        <is>
          <t>Initial outreach — professional intro, variant A</t>
        </is>
      </c>
    </row>
    <row r="3">
      <c r="A3" t="inlineStr">
        <is>
          <t>Website Development</t>
        </is>
      </c>
      <c r="B3" t="inlineStr">
        <is>
          <t>EMAIL_1</t>
        </is>
      </c>
      <c r="C3" t="inlineStr">
        <is>
          <t>Quick question about {{Company}}'s website</t>
        </is>
      </c>
      <c r="D3" t="inlineStr">
        <is>
          <t>Hi {{FirstName}},
{{PersonalisedIntro}}
A website usually has one job: turning a visitor into a customer. I help businesses make sure theirs actually does that.
Quick question — is {{Website}} getting the results you'd expect from it?
A few things we focus on:
{{Features}}
CTA: {{CtaText}} — {{CtaUrl}}
Regards,
{{SenderName}}
{{SenderRole}}, {{CompanyName}}
{{ReplyToEmail}} · {{CompanyWebsite}}
{{UnsubscribeMessage}}</t>
        </is>
      </c>
      <c r="E3" t="n">
        <v>2</v>
      </c>
      <c r="F3" t="inlineStr">
        <is>
          <t>{{Header}}
{{Hero}}
&lt;div style="padding:12px 32px 0;font-size:15px;color:#334155;line-height:1.65;font-family:Arial,Helvetica,sans-serif;"&gt;Hi {{FirstName}},&lt;/div&gt;
&lt;div style="padding:12px 32px 0;font-size:15px;color:#334155;line-height:1.65;font-family:Arial,Helvetica,sans-serif;"&gt;{{PersonalisedIntro}}&lt;/div&gt;
&lt;div style="padding:12px 32px 0;font-size:15px;color:#334155;line-height:1.65;font-family:Arial,Helvetica,sans-serif;"&gt;A website usually has one job: turning a visitor into a customer. I help businesses make sure theirs actually does that.&lt;/div&gt;
&lt;div style="padding:12px 32px 0;font-size:15px;color:#334155;line-height:1.65;font-family:Arial,Helvetica,sans-serif;"&gt;Quick question — is {{Website}} getting the results you'd expect from it?&lt;/div&gt;
{{FeatureList}}
{{PortfolioShowcase}}
{{CtaButton}}
{{Divider}}
{{SignatureBlock}}
{{SocialLinks}}
{{Footer}}
{{UnsubscribeBlock}}</t>
        </is>
      </c>
      <c r="G3" t="inlineStr">
        <is>
          <t>Happy to share ideas</t>
        </is>
      </c>
      <c r="H3" t="inlineStr"/>
      <c r="I3" t="inlineStr"/>
      <c r="J3" t="inlineStr"/>
      <c r="K3" t="inlineStr"/>
      <c r="L3" t="inlineStr">
        <is>
          <t>ACTIVE</t>
        </is>
      </c>
      <c r="M3" t="inlineStr">
        <is>
          <t>Initial outreach — professional intro, variant B</t>
        </is>
      </c>
    </row>
    <row r="4">
      <c r="A4" t="inlineStr">
        <is>
          <t>Website Development</t>
        </is>
      </c>
      <c r="B4" t="inlineStr">
        <is>
          <t>FOLLOWUP_1</t>
        </is>
      </c>
      <c r="C4" t="inlineStr">
        <is>
          <t>One more thought about your website</t>
        </is>
      </c>
      <c r="D4" t="inlineStr">
        <is>
          <t>Hi {{FirstName}},
I wanted to add one thought to my earlier email — I know inboxes get full.
Improving a website doesn't always mean a redesign. Sometimes it's structure, speed or the first screen a visitor sees.
If {{Company}}'s website is generating enquiries, you can ignore this. If not, a 10-minute call is all it takes to find out why.
A few things we focus on:
{{Features}}
CTA: {{CtaText}} — {{CtaUrl}}
Regards,
{{SenderName}}
{{SenderRole}}, {{CompanyName}}
{{ReplyToEmail}} · {{CompanyWebsite}}
{{UnsubscribeMessage}}</t>
        </is>
      </c>
      <c r="E4" t="n">
        <v>1</v>
      </c>
      <c r="F4" t="inlineStr">
        <is>
          <t>{{Header}}
{{Hero}}
&lt;div style="padding:12px 32px 0;font-size:15px;color:#334155;line-height:1.65;font-family:Arial,Helvetica,sans-serif;"&gt;Hi {{FirstName}},&lt;/div&gt;
&lt;div style="padding:12px 32px 0;font-size:15px;color:#334155;line-height:1.65;font-family:Arial,Helvetica,sans-serif;"&gt;I wanted to add one thought to my earlier email — I know inboxes get full.&lt;/div&gt;
&lt;div style="padding:12px 32px 0;font-size:15px;color:#334155;line-height:1.65;font-family:Arial,Helvetica,sans-serif;"&gt;Improving a website doesn't always mean a redesign. Sometimes it's structure, speed or the first screen a visitor sees.&lt;/div&gt;
&lt;div style="padding:12px 32px 0;font-size:15px;color:#334155;line-height:1.65;font-family:Arial,Helvetica,sans-serif;"&gt;If {{Company}}'s website is generating enquiries, you can ignore this. If not, a 10-minute call is all it takes to find out why.&lt;/div&gt;
{{FeatureList}}
{{PortfolioShowcase}}
{{CtaButton}}
{{Divider}}
{{SignatureBlock}}
{{SocialLinks}}
{{Footer}}
{{UnsubscribeBlock}}</t>
        </is>
      </c>
      <c r="G4" t="inlineStr">
        <is>
          <t>Open to a quick call?</t>
        </is>
      </c>
      <c r="H4" t="inlineStr"/>
      <c r="I4" t="inlineStr"/>
      <c r="J4" t="inlineStr"/>
      <c r="K4" t="inlineStr"/>
      <c r="L4" t="inlineStr">
        <is>
          <t>ACTIVE</t>
        </is>
      </c>
      <c r="M4" t="inlineStr">
        <is>
          <t>Gentle reminder, variant A</t>
        </is>
      </c>
    </row>
    <row r="5">
      <c r="A5" t="inlineStr">
        <is>
          <t>Website Development</t>
        </is>
      </c>
      <c r="B5" t="inlineStr">
        <is>
          <t>FOLLOWUP_1</t>
        </is>
      </c>
      <c r="C5" t="inlineStr">
        <is>
          <t>Re: {{Company}}</t>
        </is>
      </c>
      <c r="D5" t="inlineStr">
        <is>
          <t>Hi {{FirstName}},
Just nudging this back to the top of your inbox.
The idea I sent was simple: make {{Website}} work harder for {{Company}} — more enquiries from the same visitors.
Worth a look when you have a moment?
A few things we focus on:
{{Features}}
CTA: {{CtaText}} — {{CtaUrl}}
Regards,
{{SenderName}}
{{SenderRole}}, {{CompanyName}}
{{ReplyToEmail}} · {{CompanyWebsite}}
{{UnsubscribeMessage}}</t>
        </is>
      </c>
      <c r="E5" t="n">
        <v>2</v>
      </c>
      <c r="F5" t="inlineStr">
        <is>
          <t>{{Header}}
{{Hero}}
&lt;div style="padding:12px 32px 0;font-size:15px;color:#334155;line-height:1.65;font-family:Arial,Helvetica,sans-serif;"&gt;Hi {{FirstName}},&lt;/div&gt;
&lt;div style="padding:12px 32px 0;font-size:15px;color:#334155;line-height:1.65;font-family:Arial,Helvetica,sans-serif;"&gt;Just nudging this back to the top of your inbox.&lt;/div&gt;
&lt;div style="padding:12px 32px 0;font-size:15px;color:#334155;line-height:1.65;font-family:Arial,Helvetica,sans-serif;"&gt;The idea I sent was simple: make {{Website}} work harder for {{Company}} — more enquiries from the same visitors.&lt;/div&gt;
&lt;div style="padding:12px 32px 0;font-size:15px;color:#334155;line-height:1.65;font-family:Arial,Helvetica,sans-serif;"&gt;Worth a look when you have a moment?&lt;/div&gt;
{{FeatureList}}
{{PortfolioShowcase}}
{{CtaButton}}
{{Divider}}
{{SignatureBlock}}
{{SocialLinks}}
{{Footer}}
{{UnsubscribeBlock}}</t>
        </is>
      </c>
      <c r="G5" t="inlineStr">
        <is>
          <t>See what we mean</t>
        </is>
      </c>
      <c r="H5" t="inlineStr"/>
      <c r="I5" t="inlineStr"/>
      <c r="J5" t="inlineStr"/>
      <c r="K5" t="inlineStr"/>
      <c r="L5" t="inlineStr">
        <is>
          <t>ACTIVE</t>
        </is>
      </c>
      <c r="M5" t="inlineStr">
        <is>
          <t>Gentle reminder, variant B</t>
        </is>
      </c>
    </row>
    <row r="6">
      <c r="A6" t="inlineStr">
        <is>
          <t>Website Development</t>
        </is>
      </c>
      <c r="B6" t="inlineStr">
        <is>
          <t>FOLLOWUP_2</t>
        </is>
      </c>
      <c r="C6" t="inlineStr">
        <is>
          <t>How we helped a similar business get more enquiries</t>
        </is>
      </c>
      <c r="D6" t="inlineStr">
        <is>
          <t>Hi {{FirstName}},
A quick example of the work we do: one client in a similar space came to us with a website that looked fine but generated almost no enquiries.
After a focused rebuild — clearer structure, faster pages, a message that matched their customers — enquiries became a regular part of their week.
Happy to share the details if that sounds relevant to {{Company}}.
A few things we focus on:
{{Features}}
CTA: {{CtaText}} — {{CtaUrl}}
Regards,
{{SenderName}}
{{SenderRole}}, {{CompanyName}}
{{ReplyToEmail}} · {{CompanyWebsite}}
{{UnsubscribeMessage}}</t>
        </is>
      </c>
      <c r="E6" t="n">
        <v>1</v>
      </c>
      <c r="F6" t="inlineStr">
        <is>
          <t>{{Header}}
{{Hero}}
&lt;div style="padding:12px 32px 0;font-size:15px;color:#334155;line-height:1.65;font-family:Arial,Helvetica,sans-serif;"&gt;Hi {{FirstName}},&lt;/div&gt;
&lt;div style="padding:12px 32px 0;font-size:15px;color:#334155;line-height:1.65;font-family:Arial,Helvetica,sans-serif;"&gt;A quick example of the work we do: one client in a similar space came to us with a website that looked fine but generated almost no enquiries.&lt;/div&gt;
&lt;div style="padding:12px 32px 0;font-size:15px;color:#334155;line-height:1.65;font-family:Arial,Helvetica,sans-serif;"&gt;After a focused rebuild — clearer structure, faster pages, a message that matched their customers — enquiries became a regular part of their week.&lt;/div&gt;
&lt;div style="padding:12px 32px 0;font-size:15px;color:#334155;line-height:1.65;font-family:Arial,Helvetica,sans-serif;"&gt;Happy to share the details if that sounds relevant to {{Company}}.&lt;/div&gt;
{{FeatureList}}
{{PortfolioShowcase}}
{{CtaButton}}
{{Divider}}
{{SignatureBlock}}
{{SocialLinks}}
{{Footer}}
{{UnsubscribeBlock}}</t>
        </is>
      </c>
      <c r="G6" t="inlineStr">
        <is>
          <t>Share the case study</t>
        </is>
      </c>
      <c r="H6" t="inlineStr"/>
      <c r="I6" t="inlineStr"/>
      <c r="J6" t="inlineStr"/>
      <c r="K6" t="inlineStr"/>
      <c r="L6" t="inlineStr">
        <is>
          <t>ACTIVE</t>
        </is>
      </c>
      <c r="M6" t="inlineStr">
        <is>
          <t>Case study angle, variant A</t>
        </is>
      </c>
    </row>
    <row r="7">
      <c r="A7" t="inlineStr">
        <is>
          <t>Website Development</t>
        </is>
      </c>
      <c r="B7" t="inlineStr">
        <is>
          <t>FOLLOWUP_2</t>
        </is>
      </c>
      <c r="C7" t="inlineStr">
        <is>
          <t>Proof it works — {{Company}}</t>
        </is>
      </c>
      <c r="D7" t="inlineStr">
        <is>
          <t>Hi {{FirstName}},
Rather than promise what we can do, here's how we work: we look at what your website should be doing for {{Company}}, fix what's in the way, and measure the difference.
No long retainers, no jargon — just a website that earns its keep.
Our portfolio is here if you'd like to see the kind of work we ship: {{PortfolioUrl}}
A few things we focus on:
{{Features}}
CTA: {{CtaText}} — {{CtaUrl}}
Regards,
{{SenderName}}
{{SenderRole}}, {{CompanyName}}
{{ReplyToEmail}} · {{CompanyWebsite}}
{{UnsubscribeMessage}}</t>
        </is>
      </c>
      <c r="E7" t="n">
        <v>2</v>
      </c>
      <c r="F7" t="inlineStr">
        <is>
          <t>{{Header}}
{{Hero}}
&lt;div style="padding:12px 32px 0;font-size:15px;color:#334155;line-height:1.65;font-family:Arial,Helvetica,sans-serif;"&gt;Hi {{FirstName}},&lt;/div&gt;
&lt;div style="padding:12px 32px 0;font-size:15px;color:#334155;line-height:1.65;font-family:Arial,Helvetica,sans-serif;"&gt;Rather than promise what we can do, here's how we work: we look at what your website should be doing for {{Company}}, fix what's in the way, and measure the difference.&lt;/div&gt;
&lt;div style="padding:12px 32px 0;font-size:15px;color:#334155;line-height:1.65;font-family:Arial,Helvetica,sans-serif;"&gt;No long retainers, no jargon — just a website that earns its keep.&lt;/div&gt;
&lt;div style="padding:12px 32px 0;font-size:15px;color:#334155;line-height:1.65;font-family:Arial,Helvetica,sans-serif;"&gt;Our portfolio is here if you'd like to see the kind of work we ship: {{PortfolioUrl}}&lt;/div&gt;
{{FeatureList}}
{{PortfolioShowcase}}
{{CtaButton}}
{{Divider}}
{{SignatureBlock}}
{{SocialLinks}}
{{Footer}}
{{UnsubscribeBlock}}</t>
        </is>
      </c>
      <c r="G7" t="inlineStr">
        <is>
          <t>View our portfolio</t>
        </is>
      </c>
      <c r="H7" t="inlineStr"/>
      <c r="I7" t="inlineStr"/>
      <c r="J7" t="inlineStr"/>
      <c r="K7" t="inlineStr"/>
      <c r="L7" t="inlineStr">
        <is>
          <t>ACTIVE</t>
        </is>
      </c>
      <c r="M7" t="inlineStr">
        <is>
          <t>Proof / portfolio angle, variant B</t>
        </is>
      </c>
    </row>
    <row r="8">
      <c r="A8" t="inlineStr">
        <is>
          <t>Website Development</t>
        </is>
      </c>
      <c r="B8" t="inlineStr">
        <is>
          <t>FOLLOWUP_3</t>
        </is>
      </c>
      <c r="C8" t="inlineStr">
        <is>
          <t>Closing the loop with {{Company}}</t>
        </is>
      </c>
      <c r="D8" t="inlineStr">
        <is>
          <t>Hi {{FirstName}},
I'll close the loop here so I don't keep filling your inbox.
If improving {{Website}} becomes a priority at {{Company}}, we'd love to help. If it's not the right time, no worries at all — just reply 'not interested' and I won't reach out again.
CTA: {{CtaText}} — {{CtaUrl}}
Regards,
{{SenderName}}
{{SenderRole}}, {{CompanyName}}
{{ReplyToEmail}} · {{CompanyWebsite}}
{{UnsubscribeMessage}}</t>
        </is>
      </c>
      <c r="E8" t="n">
        <v>1</v>
      </c>
      <c r="F8" t="inlineStr">
        <is>
          <t>{{Header}}
{{Hero}}
&lt;div style="padding:12px 32px 0;font-size:15px;color:#334155;line-height:1.65;font-family:Arial,Helvetica,sans-serif;"&gt;Hi {{FirstName}},&lt;/div&gt;
&lt;div style="padding:12px 32px 0;font-size:15px;color:#334155;line-height:1.65;font-family:Arial,Helvetica,sans-serif;"&gt;I'll close the loop here so I don't keep filling your inbox.&lt;/div&gt;
&lt;div style="padding:12px 32px 0;font-size:15px;color:#334155;line-height:1.65;font-family:Arial,Helvetica,sans-serif;"&gt;If improving {{Website}} becomes a priority at {{Company}}, we'd love to help. If it's not the right time, no worries at all — just reply 'not interested' and I won't reach out again.&lt;/div&gt;
{{PortfolioShowcase}}
{{CtaButton}}
{{Divider}}
{{SignatureBlock}}
{{SocialLinks}}
{{Footer}}
{{UnsubscribeBlock}}</t>
        </is>
      </c>
      <c r="G8" t="inlineStr">
        <is>
          <t>Keep in touch</t>
        </is>
      </c>
      <c r="H8" t="inlineStr"/>
      <c r="I8" t="inlineStr"/>
      <c r="J8" t="inlineStr"/>
      <c r="K8" t="inlineStr"/>
      <c r="L8" t="inlineStr">
        <is>
          <t>ACTIVE</t>
        </is>
      </c>
      <c r="M8" t="inlineStr">
        <is>
          <t>Final follow-up, variant A</t>
        </is>
      </c>
    </row>
    <row r="9">
      <c r="A9" t="inlineStr">
        <is>
          <t>Website Development</t>
        </is>
      </c>
      <c r="B9" t="inlineStr">
        <is>
          <t>FOLLOWUP_3</t>
        </is>
      </c>
      <c r="C9" t="inlineStr">
        <is>
          <t>Last note about your website</t>
        </is>
      </c>
      <c r="D9" t="inlineStr">
        <is>
          <t>Hi {{FirstName}},
This will be my last email on this.
One honest point: most businesses we speak to don't need a new website — they need one that actually brings in enquiries. That's the problem we solve.
If that ever matters to {{Company}}, my inbox is open.
CTA: {{CtaText}} — {{CtaUrl}}
Regards,
{{SenderName}}
{{SenderRole}}, {{CompanyName}}
{{ReplyToEmail}} · {{CompanyWebsite}}
{{UnsubscribeMessage}}</t>
        </is>
      </c>
      <c r="E9" t="n">
        <v>2</v>
      </c>
      <c r="F9" t="inlineStr">
        <is>
          <t>{{Header}}
{{Hero}}
&lt;div style="padding:12px 32px 0;font-size:15px;color:#334155;line-height:1.65;font-family:Arial,Helvetica,sans-serif;"&gt;Hi {{FirstName}},&lt;/div&gt;
&lt;div style="padding:12px 32px 0;font-size:15px;color:#334155;line-height:1.65;font-family:Arial,Helvetica,sans-serif;"&gt;This will be my last email on this.&lt;/div&gt;
&lt;div style="padding:12px 32px 0;font-size:15px;color:#334155;line-height:1.65;font-family:Arial,Helvetica,sans-serif;"&gt;One honest point: most businesses we speak to don't need a new website — they need one that actually brings in enquiries. That's the problem we solve.&lt;/div&gt;
&lt;div style="padding:12px 32px 0;font-size:15px;color:#334155;line-height:1.65;font-family:Arial,Helvetica,sans-serif;"&gt;If that ever matters to {{Company}}, my inbox is open.&lt;/div&gt;
{{PortfolioShowcase}}
{{CtaButton}}
{{Divider}}
{{SignatureBlock}}
{{SocialLinks}}
{{Footer}}
{{UnsubscribeBlock}}</t>
        </is>
      </c>
      <c r="G9" t="inlineStr">
        <is>
          <t>See our work</t>
        </is>
      </c>
      <c r="H9" t="inlineStr"/>
      <c r="I9" t="inlineStr"/>
      <c r="J9" t="inlineStr"/>
      <c r="K9" t="inlineStr"/>
      <c r="L9" t="inlineStr">
        <is>
          <t>ACTIVE</t>
        </is>
      </c>
      <c r="M9" t="inlineStr">
        <is>
          <t>Final follow-up, variant B</t>
        </is>
      </c>
    </row>
    <row r="10">
      <c r="A10" t="inlineStr">
        <is>
          <t>SEO</t>
        </is>
      </c>
      <c r="B10" t="inlineStr">
        <is>
          <t>EMAIL_1</t>
        </is>
      </c>
      <c r="C10" t="inlineStr">
        <is>
          <t>An SEO idea for {{Company}}</t>
        </is>
      </c>
      <c r="D10" t="inlineStr">
        <is>
          <t>Hi {{FirstName}},
{{PersonalisedIntro}}
At Dynamisers we approach SEO as more than rankings — it's about being found by the right customers at the moment they're looking.
I'd like to send you one idea for {{Company}}, based on your industry. Would that be useful?
A few things we focus on:
{{Features}}
CTA: {{CtaText}} — {{CtaUrl}}
Regards,
{{SenderName}}
{{SenderRole}}, {{CompanyName}}
{{ReplyToEmail}} · {{CompanyWebsite}}
{{UnsubscribeMessage}}</t>
        </is>
      </c>
      <c r="E10" t="n">
        <v>1</v>
      </c>
      <c r="F10" t="inlineStr">
        <is>
          <t>{{Header}}
{{Hero}}
&lt;div style="padding:12px 32px 0;font-size:15px;color:#334155;line-height:1.65;font-family:Arial,Helvetica,sans-serif;"&gt;Hi {{FirstName}},&lt;/div&gt;
&lt;div style="padding:12px 32px 0;font-size:15px;color:#334155;line-height:1.65;font-family:Arial,Helvetica,sans-serif;"&gt;{{PersonalisedIntro}}&lt;/div&gt;
&lt;div style="padding:12px 32px 0;font-size:15px;color:#334155;line-height:1.65;font-family:Arial,Helvetica,sans-serif;"&gt;At Dynamisers we approach SEO as more than rankings — it's about being found by the right customers at the moment they're looking.&lt;/div&gt;
&lt;div style="padding:12px 32px 0;font-size:15px;color:#334155;line-height:1.65;font-family:Arial,Helvetica,sans-serif;"&gt;I'd like to send you one idea for {{Company}}, based on your industry. Would that be useful?&lt;/div&gt;
{{FeatureList}}
{{PortfolioShowcase}}
{{CtaButton}}
{{Divider}}
{{SignatureBlock}}
{{SocialLinks}}
{{Footer}}
{{UnsubscribeBlock}}</t>
        </is>
      </c>
      <c r="G10" t="inlineStr">
        <is>
          <t>Yes, send it over</t>
        </is>
      </c>
      <c r="H10" t="inlineStr"/>
      <c r="I10" t="inlineStr"/>
      <c r="J10" t="inlineStr"/>
      <c r="K10" t="inlineStr"/>
      <c r="L10" t="inlineStr">
        <is>
          <t>ACTIVE</t>
        </is>
      </c>
      <c r="M10" t="inlineStr">
        <is>
          <t>Initial outreach — professional intro, variant A</t>
        </is>
      </c>
    </row>
    <row r="11">
      <c r="A11" t="inlineStr">
        <is>
          <t>SEO</t>
        </is>
      </c>
      <c r="B11" t="inlineStr">
        <is>
          <t>EMAIL_1</t>
        </is>
      </c>
      <c r="C11" t="inlineStr">
        <is>
          <t>{{Company}} in search results</t>
        </is>
      </c>
      <c r="D11" t="inlineStr">
        <is>
          <t>Hi {{FirstName}},
{{PersonalisedIntro}}
When someone searches for what {{Company}} offers, do they find you? For most businesses the answer is a mixture of 'sometimes' and 'after three pages'.
That gap is exactly what we fix — with work you can see and measure.
A few things we focus on:
{{Features}}
CTA: {{CtaText}} — {{CtaUrl}}
Regards,
{{SenderName}}
{{SenderRole}}, {{CompanyName}}
{{ReplyToEmail}} · {{CompanyWebsite}}
{{UnsubscribeMessage}}</t>
        </is>
      </c>
      <c r="E11" t="n">
        <v>2</v>
      </c>
      <c r="F11" t="inlineStr">
        <is>
          <t>{{Header}}
{{Hero}}
&lt;div style="padding:12px 32px 0;font-size:15px;color:#334155;line-height:1.65;font-family:Arial,Helvetica,sans-serif;"&gt;Hi {{FirstName}},&lt;/div&gt;
&lt;div style="padding:12px 32px 0;font-size:15px;color:#334155;line-height:1.65;font-family:Arial,Helvetica,sans-serif;"&gt;{{PersonalisedIntro}}&lt;/div&gt;
&lt;div style="padding:12px 32px 0;font-size:15px;color:#334155;line-height:1.65;font-family:Arial,Helvetica,sans-serif;"&gt;When someone searches for what {{Company}} offers, do they find you? For most businesses the answer is a mixture of 'sometimes' and 'after three pages'.&lt;/div&gt;
&lt;div style="padding:12px 32px 0;font-size:15px;color:#334155;line-height:1.65;font-family:Arial,Helvetica,sans-serif;"&gt;That gap is exactly what we fix — with work you can see and measure.&lt;/div&gt;
{{FeatureList}}
{{PortfolioShowcase}}
{{CtaButton}}
{{Divider}}
{{SignatureBlock}}
{{SocialLinks}}
{{Footer}}
{{UnsubscribeBlock}}</t>
        </is>
      </c>
      <c r="G11" t="inlineStr">
        <is>
          <t>Let's find your gap</t>
        </is>
      </c>
      <c r="H11" t="inlineStr"/>
      <c r="I11" t="inlineStr"/>
      <c r="J11" t="inlineStr"/>
      <c r="K11" t="inlineStr"/>
      <c r="L11" t="inlineStr">
        <is>
          <t>ACTIVE</t>
        </is>
      </c>
      <c r="M11" t="inlineStr">
        <is>
          <t>Initial outreach — professional intro, variant B</t>
        </is>
      </c>
    </row>
    <row r="12">
      <c r="A12" t="inlineStr">
        <is>
          <t>SEO</t>
        </is>
      </c>
      <c r="B12" t="inlineStr">
        <is>
          <t>FOLLOWUP_1</t>
        </is>
      </c>
      <c r="C12" t="inlineStr">
        <is>
          <t>Re: your search visibility</t>
        </is>
      </c>
      <c r="D12" t="inlineStr">
        <is>
          <t>Hi {{FirstName}},
Following up on my note about {{Company}}'s search visibility — I know this one's easy to set aside.
SEO isn't about chasing rankings for its own sake. It's about showing up when a potential customer is actively looking for what you do.
If organic traffic matters to {{Company}}, I can show you exactly where the opportunities are.
A few things we focus on:
{{Features}}
CTA: {{CtaText}} — {{CtaUrl}}
Regards,
{{SenderName}}
{{SenderRole}}, {{CompanyName}}
{{ReplyToEmail}} · {{CompanyWebsite}}
{{UnsubscribeMessage}}</t>
        </is>
      </c>
      <c r="E12" t="n">
        <v>1</v>
      </c>
      <c r="F12" t="inlineStr">
        <is>
          <t>{{Header}}
{{Hero}}
&lt;div style="padding:12px 32px 0;font-size:15px;color:#334155;line-height:1.65;font-family:Arial,Helvetica,sans-serif;"&gt;Hi {{FirstName}},&lt;/div&gt;
&lt;div style="padding:12px 32px 0;font-size:15px;color:#334155;line-height:1.65;font-family:Arial,Helvetica,sans-serif;"&gt;Following up on my note about {{Company}}'s search visibility — I know this one's easy to set aside.&lt;/div&gt;
&lt;div style="padding:12px 32px 0;font-size:15px;color:#334155;line-height:1.65;font-family:Arial,Helvetica,sans-serif;"&gt;SEO isn't about chasing rankings for its own sake. It's about showing up when a potential customer is actively looking for what you do.&lt;/div&gt;
&lt;div style="padding:12px 32px 0;font-size:15px;color:#334155;line-height:1.65;font-family:Arial,Helvetica,sans-serif;"&gt;If organic traffic matters to {{Company}}, I can show you exactly where the opportunities are.&lt;/div&gt;
{{FeatureList}}
{{PortfolioShowcase}}
{{CtaButton}}
{{Divider}}
{{SignatureBlock}}
{{SocialLinks}}
{{Footer}}
{{UnsubscribeBlock}}</t>
        </is>
      </c>
      <c r="G12" t="inlineStr">
        <is>
          <t>Show me the opportunities</t>
        </is>
      </c>
      <c r="H12" t="inlineStr"/>
      <c r="I12" t="inlineStr"/>
      <c r="J12" t="inlineStr"/>
      <c r="K12" t="inlineStr"/>
      <c r="L12" t="inlineStr">
        <is>
          <t>ACTIVE</t>
        </is>
      </c>
      <c r="M12" t="inlineStr">
        <is>
          <t>Gentle reminder, variant A</t>
        </is>
      </c>
    </row>
    <row r="13">
      <c r="A13" t="inlineStr">
        <is>
          <t>SEO</t>
        </is>
      </c>
      <c r="B13" t="inlineStr">
        <is>
          <t>FOLLOWUP_1</t>
        </is>
      </c>
      <c r="C13" t="inlineStr">
        <is>
          <t>One thing I noticed about {{Company}}</t>
        </is>
      </c>
      <c r="D13" t="inlineStr">
        <is>
          <t>Hi {{FirstName}},
One thing I keep noticing with businesses like {{Company}}: the demand is there, but the website isn't the one capturing it.
With a few focused changes, the searches you already appear in can work much harder.
Worth 10 minutes to talk through?
A few things we focus on:
{{Features}}
CTA: {{CtaText}} — {{CtaUrl}}
Regards,
{{SenderName}}
{{SenderRole}}, {{CompanyName}}
{{ReplyToEmail}} · {{CompanyWebsite}}
{{UnsubscribeMessage}}</t>
        </is>
      </c>
      <c r="E13" t="n">
        <v>2</v>
      </c>
      <c r="F13" t="inlineStr">
        <is>
          <t>{{Header}}
{{Hero}}
&lt;div style="padding:12px 32px 0;font-size:15px;color:#334155;line-height:1.65;font-family:Arial,Helvetica,sans-serif;"&gt;Hi {{FirstName}},&lt;/div&gt;
&lt;div style="padding:12px 32px 0;font-size:15px;color:#334155;line-height:1.65;font-family:Arial,Helvetica,sans-serif;"&gt;One thing I keep noticing with businesses like {{Company}}: the demand is there, but the website isn't the one capturing it.&lt;/div&gt;
&lt;div style="padding:12px 32px 0;font-size:15px;color:#334155;line-height:1.65;font-family:Arial,Helvetica,sans-serif;"&gt;With a few focused changes, the searches you already appear in can work much harder.&lt;/div&gt;
&lt;div style="padding:12px 32px 0;font-size:15px;color:#334155;line-height:1.65;font-family:Arial,Helvetica,sans-serif;"&gt;Worth 10 minutes to talk through?&lt;/div&gt;
{{FeatureList}}
{{PortfolioShowcase}}
{{CtaButton}}
{{Divider}}
{{SignatureBlock}}
{{SocialLinks}}
{{Footer}}
{{UnsubscribeBlock}}</t>
        </is>
      </c>
      <c r="G13" t="inlineStr">
        <is>
          <t>Let's talk it through</t>
        </is>
      </c>
      <c r="H13" t="inlineStr"/>
      <c r="I13" t="inlineStr"/>
      <c r="J13" t="inlineStr"/>
      <c r="K13" t="inlineStr"/>
      <c r="L13" t="inlineStr">
        <is>
          <t>ACTIVE</t>
        </is>
      </c>
      <c r="M13" t="inlineStr">
        <is>
          <t>Gentle reminder, variant B</t>
        </is>
      </c>
    </row>
    <row r="14">
      <c r="A14" t="inlineStr">
        <is>
          <t>SEO</t>
        </is>
      </c>
      <c r="B14" t="inlineStr">
        <is>
          <t>FOLLOWUP_2</t>
        </is>
      </c>
      <c r="C14" t="inlineStr">
        <is>
          <t>How we helped a similar business get found</t>
        </is>
      </c>
      <c r="D14" t="inlineStr">
        <is>
          <t>Hi {{FirstName}},
A real example: a client in your space was invisible for the terms their customers actually search. Six months of focused work later, they were consistently showing up on page one — and the enquiries followed.
SEO takes time, which is why starting early matters. If {{Company}} cares about next year's pipeline, this is the conversation to have this month.
A few things we focus on:
{{Features}}
CTA: {{CtaText}} — {{CtaUrl}}
Regards,
{{SenderName}}
{{SenderRole}}, {{CompanyName}}
{{ReplyToEmail}} · {{CompanyWebsite}}
{{UnsubscribeMessage}}</t>
        </is>
      </c>
      <c r="E14" t="n">
        <v>1</v>
      </c>
      <c r="F14" t="inlineStr">
        <is>
          <t>{{Header}}
{{Hero}}
&lt;div style="padding:12px 32px 0;font-size:15px;color:#334155;line-height:1.65;font-family:Arial,Helvetica,sans-serif;"&gt;Hi {{FirstName}},&lt;/div&gt;
&lt;div style="padding:12px 32px 0;font-size:15px;color:#334155;line-height:1.65;font-family:Arial,Helvetica,sans-serif;"&gt;A real example: a client in your space was invisible for the terms their customers actually search. Six months of focused work later, they were consistently showing up on page one — and the enquiries followed.&lt;/div&gt;
&lt;div style="padding:12px 32px 0;font-size:15px;color:#334155;line-height:1.65;font-family:Arial,Helvetica,sans-serif;"&gt;SEO takes time, which is why starting early matters. If {{Company}} cares about next year's pipeline, this is the conversation to have this month.&lt;/div&gt;
{{FeatureList}}
{{PortfolioShowcase}}
{{CtaButton}}
{{Divider}}
{{SignatureBlock}}
{{SocialLinks}}
{{Footer}}
{{UnsubscribeBlock}}</t>
        </is>
      </c>
      <c r="G14" t="inlineStr">
        <is>
          <t>Worth starting now</t>
        </is>
      </c>
      <c r="H14" t="inlineStr"/>
      <c r="I14" t="inlineStr"/>
      <c r="J14" t="inlineStr"/>
      <c r="K14" t="inlineStr"/>
      <c r="L14" t="inlineStr">
        <is>
          <t>ACTIVE</t>
        </is>
      </c>
      <c r="M14" t="inlineStr">
        <is>
          <t>Case study angle, variant A</t>
        </is>
      </c>
    </row>
    <row r="15">
      <c r="A15" t="inlineStr">
        <is>
          <t>SEO</t>
        </is>
      </c>
      <c r="B15" t="inlineStr">
        <is>
          <t>FOLLOWUP_2</t>
        </is>
      </c>
      <c r="C15" t="inlineStr">
        <is>
          <t>SEO takes months — here's the plan</t>
        </is>
      </c>
      <c r="D15" t="inlineStr">
        <is>
          <t>Hi {{FirstName}},
Here's how we'd approach {{Company}}: a quick audit of where you currently stand, fixes to the pages that matter most, then a steady build of content and links.
Nothing vague — every step is tracked and reported.
You can see the kind of work we do here: {{PortfolioUrl}}
A few things we focus on:
{{Features}}
CTA: {{CtaText}} — {{CtaUrl}}
Regards,
{{SenderName}}
{{SenderRole}}, {{CompanyName}}
{{ReplyToEmail}} · {{CompanyWebsite}}
{{UnsubscribeMessage}}</t>
        </is>
      </c>
      <c r="E15" t="n">
        <v>2</v>
      </c>
      <c r="F15" t="inlineStr">
        <is>
          <t>{{Header}}
{{Hero}}
&lt;div style="padding:12px 32px 0;font-size:15px;color:#334155;line-height:1.65;font-family:Arial,Helvetica,sans-serif;"&gt;Hi {{FirstName}},&lt;/div&gt;
&lt;div style="padding:12px 32px 0;font-size:15px;color:#334155;line-height:1.65;font-family:Arial,Helvetica,sans-serif;"&gt;Here's how we'd approach {{Company}}: a quick audit of where you currently stand, fixes to the pages that matter most, then a steady build of content and links.&lt;/div&gt;
&lt;div style="padding:12px 32px 0;font-size:15px;color:#334155;line-height:1.65;font-family:Arial,Helvetica,sans-serif;"&gt;Nothing vague — every step is tracked and reported.&lt;/div&gt;
&lt;div style="padding:12px 32px 0;font-size:15px;color:#334155;line-height:1.65;font-family:Arial,Helvetica,sans-serif;"&gt;You can see the kind of work we do here: {{PortfolioUrl}}&lt;/div&gt;
{{FeatureList}}
{{PortfolioShowcase}}
{{CtaButton}}
{{Divider}}
{{SignatureBlock}}
{{SocialLinks}}
{{Footer}}
{{UnsubscribeBlock}}</t>
        </is>
      </c>
      <c r="G15" t="inlineStr">
        <is>
          <t>See our work</t>
        </is>
      </c>
      <c r="H15" t="inlineStr"/>
      <c r="I15" t="inlineStr"/>
      <c r="J15" t="inlineStr"/>
      <c r="K15" t="inlineStr"/>
      <c r="L15" t="inlineStr">
        <is>
          <t>ACTIVE</t>
        </is>
      </c>
      <c r="M15" t="inlineStr">
        <is>
          <t>Plan / process angle, variant B</t>
        </is>
      </c>
    </row>
    <row r="16">
      <c r="A16" t="inlineStr">
        <is>
          <t>SEO</t>
        </is>
      </c>
      <c r="B16" t="inlineStr">
        <is>
          <t>FOLLOWUP_3</t>
        </is>
      </c>
      <c r="C16" t="inlineStr">
        <is>
          <t>Last follow-up on {{Company}}'s SEO</t>
        </is>
      </c>
      <c r="D16" t="inlineStr">
        <is>
          <t>Hi {{FirstName}},
Last follow-up from me — I'll leave it here.
If {{Company}} ever wants to grow through search rather than paying for every click, we're a good team to have in your corner.
And if it's not the right time, just say so — no hard feelings.
CTA: {{CtaText}} — {{CtaUrl}}
Regards,
{{SenderName}}
{{SenderRole}}, {{CompanyName}}
{{ReplyToEmail}} · {{CompanyWebsite}}
{{UnsubscribeMessage}}</t>
        </is>
      </c>
      <c r="E16" t="n">
        <v>1</v>
      </c>
      <c r="F16" t="inlineStr">
        <is>
          <t>{{Header}}
{{Hero}}
&lt;div style="padding:12px 32px 0;font-size:15px;color:#334155;line-height:1.65;font-family:Arial,Helvetica,sans-serif;"&gt;Hi {{FirstName}},&lt;/div&gt;
&lt;div style="padding:12px 32px 0;font-size:15px;color:#334155;line-height:1.65;font-family:Arial,Helvetica,sans-serif;"&gt;Last follow-up from me — I'll leave it here.&lt;/div&gt;
&lt;div style="padding:12px 32px 0;font-size:15px;color:#334155;line-height:1.65;font-family:Arial,Helvetica,sans-serif;"&gt;If {{Company}} ever wants to grow through search rather than paying for every click, we're a good team to have in your corner.&lt;/div&gt;
&lt;div style="padding:12px 32px 0;font-size:15px;color:#334155;line-height:1.65;font-family:Arial,Helvetica,sans-serif;"&gt;And if it's not the right time, just say so — no hard feelings.&lt;/div&gt;
{{PortfolioShowcase}}
{{CtaButton}}
{{Divider}}
{{SignatureBlock}}
{{SocialLinks}}
{{Footer}}
{{UnsubscribeBlock}}</t>
        </is>
      </c>
      <c r="G16" t="inlineStr">
        <is>
          <t>See our work</t>
        </is>
      </c>
      <c r="H16" t="inlineStr"/>
      <c r="I16" t="inlineStr"/>
      <c r="J16" t="inlineStr"/>
      <c r="K16" t="inlineStr"/>
      <c r="L16" t="inlineStr">
        <is>
          <t>ACTIVE</t>
        </is>
      </c>
      <c r="M16" t="inlineStr">
        <is>
          <t>Final follow-up, variant A</t>
        </is>
      </c>
    </row>
    <row r="17">
      <c r="A17" t="inlineStr">
        <is>
          <t>SEO</t>
        </is>
      </c>
      <c r="B17" t="inlineStr">
        <is>
          <t>FOLLOWUP_3</t>
        </is>
      </c>
      <c r="C17" t="inlineStr">
        <is>
          <t>Closing the loop</t>
        </is>
      </c>
      <c r="D17" t="inlineStr">
        <is>
          <t>Hi {{FirstName}},
Closing the loop on this one.
The short version: we help businesses like {{Company}} get found for the searches that matter, and we measure everything along the way.
If that's useful later, you know where to find me.
CTA: {{CtaText}} — {{CtaUrl}}
Regards,
{{SenderName}}
{{SenderRole}}, {{CompanyName}}
{{ReplyToEmail}} · {{CompanyWebsite}}
{{UnsubscribeMessage}}</t>
        </is>
      </c>
      <c r="E17" t="n">
        <v>2</v>
      </c>
      <c r="F17" t="inlineStr">
        <is>
          <t>{{Header}}
{{Hero}}
&lt;div style="padding:12px 32px 0;font-size:15px;color:#334155;line-height:1.65;font-family:Arial,Helvetica,sans-serif;"&gt;Hi {{FirstName}},&lt;/div&gt;
&lt;div style="padding:12px 32px 0;font-size:15px;color:#334155;line-height:1.65;font-family:Arial,Helvetica,sans-serif;"&gt;Closing the loop on this one.&lt;/div&gt;
&lt;div style="padding:12px 32px 0;font-size:15px;color:#334155;line-height:1.65;font-family:Arial,Helvetica,sans-serif;"&gt;The short version: we help businesses like {{Company}} get found for the searches that matter, and we measure everything along the way.&lt;/div&gt;
&lt;div style="padding:12px 32px 0;font-size:15px;color:#334155;line-height:1.65;font-family:Arial,Helvetica,sans-serif;"&gt;If that's useful later, you know where to find me.&lt;/div&gt;
{{PortfolioShowcase}}
{{CtaButton}}
{{Divider}}
{{SignatureBlock}}
{{SocialLinks}}
{{Footer}}
{{UnsubscribeBlock}}</t>
        </is>
      </c>
      <c r="G17" t="inlineStr">
        <is>
          <t>Keep in touch</t>
        </is>
      </c>
      <c r="H17" t="inlineStr"/>
      <c r="I17" t="inlineStr"/>
      <c r="J17" t="inlineStr"/>
      <c r="K17" t="inlineStr"/>
      <c r="L17" t="inlineStr">
        <is>
          <t>ACTIVE</t>
        </is>
      </c>
      <c r="M17" t="inlineStr">
        <is>
          <t>Final follow-up, variant B</t>
        </is>
      </c>
    </row>
    <row r="18">
      <c r="A18" t="inlineStr">
        <is>
          <t>Google Ads</t>
        </is>
      </c>
      <c r="B18" t="inlineStr">
        <is>
          <t>EMAIL_1</t>
        </is>
      </c>
      <c r="C18" t="inlineStr">
        <is>
          <t>A Google Ads idea for {{Company}}</t>
        </is>
      </c>
      <c r="D18" t="inlineStr">
        <is>
          <t>Hi {{FirstName}},
{{PersonalisedIntro}}
At Dynamisers we run Google Ads the boring way — carefully. Budgets tested, campaigns trimmed, every pound or dollar measured against real enquiries.
If paid search could work for {{Company}}, I can show you how without any of the usual waste.
A few things we focus on:
{{Features}}
CTA: {{CtaText}} — {{CtaUrl}}
Regards,
{{SenderName}}
{{SenderRole}}, {{CompanyName}}
{{ReplyToEmail}} · {{CompanyWebsite}}
{{UnsubscribeMessage}}</t>
        </is>
      </c>
      <c r="E18" t="n">
        <v>1</v>
      </c>
      <c r="F18" t="inlineStr">
        <is>
          <t>{{Header}}
{{Hero}}
&lt;div style="padding:12px 32px 0;font-size:15px;color:#334155;line-height:1.65;font-family:Arial,Helvetica,sans-serif;"&gt;Hi {{FirstName}},&lt;/div&gt;
&lt;div style="padding:12px 32px 0;font-size:15px;color:#334155;line-height:1.65;font-family:Arial,Helvetica,sans-serif;"&gt;{{PersonalisedIntro}}&lt;/div&gt;
&lt;div style="padding:12px 32px 0;font-size:15px;color:#334155;line-height:1.65;font-family:Arial,Helvetica,sans-serif;"&gt;At Dynamisers we run Google Ads the boring way — carefully. Budgets tested, campaigns trimmed, every pound or dollar measured against real enquiries.&lt;/div&gt;
&lt;div style="padding:12px 32px 0;font-size:15px;color:#334155;line-height:1.65;font-family:Arial,Helvetica,sans-serif;"&gt;If paid search could work for {{Company}}, I can show you how without any of the usual waste.&lt;/div&gt;
{{FeatureList}}
{{PortfolioShowcase}}
{{CtaButton}}
{{Divider}}
{{SignatureBlock}}
{{SocialLinks}}
{{Footer}}
{{UnsubscribeBlock}}</t>
        </is>
      </c>
      <c r="G18" t="inlineStr">
        <is>
          <t>Show me how</t>
        </is>
      </c>
      <c r="H18" t="inlineStr"/>
      <c r="I18" t="inlineStr"/>
      <c r="J18" t="inlineStr"/>
      <c r="K18" t="inlineStr"/>
      <c r="L18" t="inlineStr">
        <is>
          <t>ACTIVE</t>
        </is>
      </c>
      <c r="M18" t="inlineStr">
        <is>
          <t>Initial outreach — professional intro, variant A</t>
        </is>
      </c>
    </row>
    <row r="19">
      <c r="A19" t="inlineStr">
        <is>
          <t>Google Ads</t>
        </is>
      </c>
      <c r="B19" t="inlineStr">
        <is>
          <t>EMAIL_1</t>
        </is>
      </c>
      <c r="C19" t="inlineStr">
        <is>
          <t>Paid search question for {{Company}}</t>
        </is>
      </c>
      <c r="D19" t="inlineStr">
        <is>
          <t>Hi {{FirstName}},
{{PersonalisedIntro}}
Quick question: if {{Company}} advertised on Google, would you know exactly which clicks turned into customers?
Most businesses don't — which is exactly why most ad spend is wasted. We fix that first.
A few things we focus on:
{{Features}}
CTA: {{CtaText}} — {{CtaUrl}}
Regards,
{{SenderName}}
{{SenderRole}}, {{CompanyName}}
{{ReplyToEmail}} · {{CompanyWebsite}}
{{UnsubscribeMessage}}</t>
        </is>
      </c>
      <c r="E19" t="n">
        <v>2</v>
      </c>
      <c r="F19" t="inlineStr">
        <is>
          <t>{{Header}}
{{Hero}}
&lt;div style="padding:12px 32px 0;font-size:15px;color:#334155;line-height:1.65;font-family:Arial,Helvetica,sans-serif;"&gt;Hi {{FirstName}},&lt;/div&gt;
&lt;div style="padding:12px 32px 0;font-size:15px;color:#334155;line-height:1.65;font-family:Arial,Helvetica,sans-serif;"&gt;{{PersonalisedIntro}}&lt;/div&gt;
&lt;div style="padding:12px 32px 0;font-size:15px;color:#334155;line-height:1.65;font-family:Arial,Helvetica,sans-serif;"&gt;Quick question: if {{Company}} advertised on Google, would you know exactly which clicks turned into customers?&lt;/div&gt;
&lt;div style="padding:12px 32px 0;font-size:15px;color:#334155;line-height:1.65;font-family:Arial,Helvetica,sans-serif;"&gt;Most businesses don't — which is exactly why most ad spend is wasted. We fix that first.&lt;/div&gt;
{{FeatureList}}
{{PortfolioShowcase}}
{{CtaButton}}
{{Divider}}
{{SignatureBlock}}
{{SocialLinks}}
{{Footer}}
{{UnsubscribeBlock}}</t>
        </is>
      </c>
      <c r="G19" t="inlineStr">
        <is>
          <t>I'd like to know more</t>
        </is>
      </c>
      <c r="H19" t="inlineStr"/>
      <c r="I19" t="inlineStr"/>
      <c r="J19" t="inlineStr"/>
      <c r="K19" t="inlineStr"/>
      <c r="L19" t="inlineStr">
        <is>
          <t>ACTIVE</t>
        </is>
      </c>
      <c r="M19" t="inlineStr">
        <is>
          <t>Initial outreach — professional intro, variant B</t>
        </is>
      </c>
    </row>
    <row r="20">
      <c r="A20" t="inlineStr">
        <is>
          <t>Google Ads</t>
        </is>
      </c>
      <c r="B20" t="inlineStr">
        <is>
          <t>FOLLOWUP_1</t>
        </is>
      </c>
      <c r="C20" t="inlineStr">
        <is>
          <t>Re: your paid search</t>
        </is>
      </c>
      <c r="D20" t="inlineStr">
        <is>
          <t>Hi {{FirstName}},
Just a gentle nudge on my earlier note.
The biggest opportunity with Google Ads isn't more clicks — it's clicks from people ready to buy. That's what separates profitable campaigns from expensive ones.
If {{Company}} is spending anything on ads today, a quick review might pay for itself.
A few things we focus on:
{{Features}}
CTA: {{CtaText}} — {{CtaUrl}}
Regards,
{{SenderName}}
{{SenderRole}}, {{CompanyName}}
{{ReplyToEmail}} · {{CompanyWebsite}}
{{UnsubscribeMessage}}</t>
        </is>
      </c>
      <c r="E20" t="n">
        <v>1</v>
      </c>
      <c r="F20" t="inlineStr">
        <is>
          <t>{{Header}}
{{Hero}}
&lt;div style="padding:12px 32px 0;font-size:15px;color:#334155;line-height:1.65;font-family:Arial,Helvetica,sans-serif;"&gt;Hi {{FirstName}},&lt;/div&gt;
&lt;div style="padding:12px 32px 0;font-size:15px;color:#334155;line-height:1.65;font-family:Arial,Helvetica,sans-serif;"&gt;Just a gentle nudge on my earlier note.&lt;/div&gt;
&lt;div style="padding:12px 32px 0;font-size:15px;color:#334155;line-height:1.65;font-family:Arial,Helvetica,sans-serif;"&gt;The biggest opportunity with Google Ads isn't more clicks — it's clicks from people ready to buy. That's what separates profitable campaigns from expensive ones.&lt;/div&gt;
&lt;div style="padding:12px 32px 0;font-size:15px;color:#334155;line-height:1.65;font-family:Arial,Helvetica,sans-serif;"&gt;If {{Company}} is spending anything on ads today, a quick review might pay for itself.&lt;/div&gt;
{{FeatureList}}
{{PortfolioShowcase}}
{{CtaButton}}
{{Divider}}
{{SignatureBlock}}
{{SocialLinks}}
{{Footer}}
{{UnsubscribeBlock}}</t>
        </is>
      </c>
      <c r="G20" t="inlineStr">
        <is>
          <t>Review my ads</t>
        </is>
      </c>
      <c r="H20" t="inlineStr"/>
      <c r="I20" t="inlineStr"/>
      <c r="J20" t="inlineStr"/>
      <c r="K20" t="inlineStr"/>
      <c r="L20" t="inlineStr">
        <is>
          <t>ACTIVE</t>
        </is>
      </c>
      <c r="M20" t="inlineStr">
        <is>
          <t>Gentle reminder, variant A</t>
        </is>
      </c>
    </row>
    <row r="21">
      <c r="A21" t="inlineStr">
        <is>
          <t>Google Ads</t>
        </is>
      </c>
      <c r="B21" t="inlineStr">
        <is>
          <t>FOLLOWUP_1</t>
        </is>
      </c>
      <c r="C21" t="inlineStr">
        <is>
          <t>One thought on Google Ads for {{Company}}</t>
        </is>
      </c>
      <c r="D21" t="inlineStr">
        <is>
          <t>Hi {{FirstName}},
One thought worth sharing: the businesses that win with Google Ads don't necessarily spend more — they just measure better.
If {{Company}} has never seen a clean breakdown of what each search term actually cost and returned, that's where we'd start.
A few things we focus on:
{{Features}}
CTA: {{CtaText}} — {{CtaUrl}}
Regards,
{{SenderName}}
{{SenderRole}}, {{CompanyName}}
{{ReplyToEmail}} · {{CompanyWebsite}}
{{UnsubscribeMessage}}</t>
        </is>
      </c>
      <c r="E21" t="n">
        <v>2</v>
      </c>
      <c r="F21" t="inlineStr">
        <is>
          <t>{{Header}}
{{Hero}}
&lt;div style="padding:12px 32px 0;font-size:15px;color:#334155;line-height:1.65;font-family:Arial,Helvetica,sans-serif;"&gt;Hi {{FirstName}},&lt;/div&gt;
&lt;div style="padding:12px 32px 0;font-size:15px;color:#334155;line-height:1.65;font-family:Arial,Helvetica,sans-serif;"&gt;One thought worth sharing: the businesses that win with Google Ads don't necessarily spend more — they just measure better.&lt;/div&gt;
&lt;div style="padding:12px 32px 0;font-size:15px;color:#334155;line-height:1.65;font-family:Arial,Helvetica,sans-serif;"&gt;If {{Company}} has never seen a clean breakdown of what each search term actually cost and returned, that's where we'd start.&lt;/div&gt;
{{FeatureList}}
{{PortfolioShowcase}}
{{CtaButton}}
{{Divider}}
{{SignatureBlock}}
{{SocialLinks}}
{{Footer}}
{{UnsubscribeBlock}}</t>
        </is>
      </c>
      <c r="G21" t="inlineStr">
        <is>
          <t>Let's start there</t>
        </is>
      </c>
      <c r="H21" t="inlineStr"/>
      <c r="I21" t="inlineStr"/>
      <c r="J21" t="inlineStr"/>
      <c r="K21" t="inlineStr"/>
      <c r="L21" t="inlineStr">
        <is>
          <t>ACTIVE</t>
        </is>
      </c>
      <c r="M21" t="inlineStr">
        <is>
          <t>Gentle reminder, variant B</t>
        </is>
      </c>
    </row>
    <row r="22">
      <c r="A22" t="inlineStr">
        <is>
          <t>Google Ads</t>
        </is>
      </c>
      <c r="B22" t="inlineStr">
        <is>
          <t>FOLLOWUP_2</t>
        </is>
      </c>
      <c r="C22" t="inlineStr">
        <is>
          <t>What a well-run campaign looks like</t>
        </is>
      </c>
      <c r="D22" t="inlineStr">
        <is>
          <t>Hi {{FirstName}},
Here's what we aim for with every campaign: clear budgets, tight targeting, and a dashboard that shows exactly what you got for every pound spent.
One client reduced wasted spend by more than half in the first two months — same budget, better results.
Happy to walk you through how, if {{Company}} is curious.
A few things we focus on:
{{Features}}
CTA: {{CtaText}} — {{CtaUrl}}
Regards,
{{SenderName}}
{{SenderRole}}, {{CompanyName}}
{{ReplyToEmail}} · {{CompanyWebsite}}
{{UnsubscribeMessage}}</t>
        </is>
      </c>
      <c r="E22" t="n">
        <v>1</v>
      </c>
      <c r="F22" t="inlineStr">
        <is>
          <t>{{Header}}
{{Hero}}
&lt;div style="padding:12px 32px 0;font-size:15px;color:#334155;line-height:1.65;font-family:Arial,Helvetica,sans-serif;"&gt;Hi {{FirstName}},&lt;/div&gt;
&lt;div style="padding:12px 32px 0;font-size:15px;color:#334155;line-height:1.65;font-family:Arial,Helvetica,sans-serif;"&gt;Here's what we aim for with every campaign: clear budgets, tight targeting, and a dashboard that shows exactly what you got for every pound spent.&lt;/div&gt;
&lt;div style="padding:12px 32px 0;font-size:15px;color:#334155;line-height:1.65;font-family:Arial,Helvetica,sans-serif;"&gt;One client reduced wasted spend by more than half in the first two months — same budget, better results.&lt;/div&gt;
&lt;div style="padding:12px 32px 0;font-size:15px;color:#334155;line-height:1.65;font-family:Arial,Helvetica,sans-serif;"&gt;Happy to walk you through how, if {{Company}} is curious.&lt;/div&gt;
{{FeatureList}}
{{PortfolioShowcase}}
{{CtaButton}}
{{Divider}}
{{SignatureBlock}}
{{SocialLinks}}
{{Footer}}
{{UnsubscribeBlock}}</t>
        </is>
      </c>
      <c r="G22" t="inlineStr">
        <is>
          <t>Walk me through it</t>
        </is>
      </c>
      <c r="H22" t="inlineStr"/>
      <c r="I22" t="inlineStr"/>
      <c r="J22" t="inlineStr"/>
      <c r="K22" t="inlineStr"/>
      <c r="L22" t="inlineStr">
        <is>
          <t>ACTIVE</t>
        </is>
      </c>
      <c r="M22" t="inlineStr">
        <is>
          <t>Case study angle, variant A</t>
        </is>
      </c>
    </row>
    <row r="23">
      <c r="A23" t="inlineStr">
        <is>
          <t>Google Ads</t>
        </is>
      </c>
      <c r="B23" t="inlineStr">
        <is>
          <t>FOLLOWUP_2</t>
        </is>
      </c>
      <c r="C23" t="inlineStr">
        <is>
          <t>Real clicks, real customers</t>
        </is>
      </c>
      <c r="D23" t="inlineStr">
        <is>
          <t>Hi {{FirstName}},
A quick look at our approach: we don't chase vanity clicks. Every campaign we run is built around one question — did this turn into an enquiry or a sale?
Examples of that work are here: {{PortfolioUrl}}
A few things we focus on:
{{Features}}
CTA: {{CtaText}} — {{CtaUrl}}
Regards,
{{SenderName}}
{{SenderRole}}, {{CompanyName}}
{{ReplyToEmail}} · {{CompanyWebsite}}
{{UnsubscribeMessage}}</t>
        </is>
      </c>
      <c r="E23" t="n">
        <v>2</v>
      </c>
      <c r="F23" t="inlineStr">
        <is>
          <t>{{Header}}
{{Hero}}
&lt;div style="padding:12px 32px 0;font-size:15px;color:#334155;line-height:1.65;font-family:Arial,Helvetica,sans-serif;"&gt;Hi {{FirstName}},&lt;/div&gt;
&lt;div style="padding:12px 32px 0;font-size:15px;color:#334155;line-height:1.65;font-family:Arial,Helvetica,sans-serif;"&gt;A quick look at our approach: we don't chase vanity clicks. Every campaign we run is built around one question — did this turn into an enquiry or a sale?&lt;/div&gt;
&lt;div style="padding:12px 32px 0;font-size:15px;color:#334155;line-height:1.65;font-family:Arial,Helvetica,sans-serif;"&gt;Examples of that work are here: {{PortfolioUrl}}&lt;/div&gt;
{{FeatureList}}
{{PortfolioShowcase}}
{{CtaButton}}
{{Divider}}
{{SignatureBlock}}
{{SocialLinks}}
{{Footer}}
{{UnsubscribeBlock}}</t>
        </is>
      </c>
      <c r="G23" t="inlineStr">
        <is>
          <t>See the results</t>
        </is>
      </c>
      <c r="H23" t="inlineStr"/>
      <c r="I23" t="inlineStr"/>
      <c r="J23" t="inlineStr"/>
      <c r="K23" t="inlineStr"/>
      <c r="L23" t="inlineStr">
        <is>
          <t>ACTIVE</t>
        </is>
      </c>
      <c r="M23" t="inlineStr">
        <is>
          <t>Proof angle, variant B</t>
        </is>
      </c>
    </row>
    <row r="24">
      <c r="A24" t="inlineStr">
        <is>
          <t>Google Ads</t>
        </is>
      </c>
      <c r="B24" t="inlineStr">
        <is>
          <t>FOLLOWUP_3</t>
        </is>
      </c>
      <c r="C24" t="inlineStr">
        <is>
          <t>Final note about Google Ads</t>
        </is>
      </c>
      <c r="D24" t="inlineStr">
        <is>
          <t>Hi {{FirstName}},
I'll keep this brief — final note.
If {{Company}} ever wants to test Google Ads properly — measured, controlled, without waste — we're ready when you are.
Reply 'not interested' if you'd rather we leave it here.
CTA: {{CtaText}} — {{CtaUrl}}
Regards,
{{SenderName}}
{{SenderRole}}, {{CompanyName}}
{{ReplyToEmail}} · {{CompanyWebsite}}
{{UnsubscribeMessage}}</t>
        </is>
      </c>
      <c r="E24" t="n">
        <v>1</v>
      </c>
      <c r="F24" t="inlineStr">
        <is>
          <t>{{Header}}
{{Hero}}
&lt;div style="padding:12px 32px 0;font-size:15px;color:#334155;line-height:1.65;font-family:Arial,Helvetica,sans-serif;"&gt;Hi {{FirstName}},&lt;/div&gt;
&lt;div style="padding:12px 32px 0;font-size:15px;color:#334155;line-height:1.65;font-family:Arial,Helvetica,sans-serif;"&gt;I'll keep this brief — final note.&lt;/div&gt;
&lt;div style="padding:12px 32px 0;font-size:15px;color:#334155;line-height:1.65;font-family:Arial,Helvetica,sans-serif;"&gt;If {{Company}} ever wants to test Google Ads properly — measured, controlled, without waste — we're ready when you are.&lt;/div&gt;
&lt;div style="padding:12px 32px 0;font-size:15px;color:#334155;line-height:1.65;font-family:Arial,Helvetica,sans-serif;"&gt;Reply 'not interested' if you'd rather we leave it here.&lt;/div&gt;
{{PortfolioShowcase}}
{{CtaButton}}
{{Divider}}
{{SignatureBlock}}
{{SocialLinks}}
{{Footer}}
{{UnsubscribeBlock}}</t>
        </is>
      </c>
      <c r="G24" t="inlineStr">
        <is>
          <t>Keep in touch</t>
        </is>
      </c>
      <c r="H24" t="inlineStr"/>
      <c r="I24" t="inlineStr"/>
      <c r="J24" t="inlineStr"/>
      <c r="K24" t="inlineStr"/>
      <c r="L24" t="inlineStr">
        <is>
          <t>ACTIVE</t>
        </is>
      </c>
      <c r="M24" t="inlineStr">
        <is>
          <t>Final follow-up, variant A</t>
        </is>
      </c>
    </row>
    <row r="25">
      <c r="A25" t="inlineStr">
        <is>
          <t>Google Ads</t>
        </is>
      </c>
      <c r="B25" t="inlineStr">
        <is>
          <t>FOLLOWUP_3</t>
        </is>
      </c>
      <c r="C25" t="inlineStr">
        <is>
          <t>Closing the loop with {{Company}}</t>
        </is>
      </c>
      <c r="D25" t="inlineStr">
        <is>
          <t>Hi {{FirstName}},
Closing the loop — thanks for reading this far.
We help businesses turn Google Ads from a cost centre into a channel they can trust. When paid search makes sense for {{Company}}, that's our pitch.
All the best, and take care.
CTA: {{CtaText}} — {{CtaUrl}}
Regards,
{{SenderName}}
{{SenderRole}}, {{CompanyName}}
{{ReplyToEmail}} · {{CompanyWebsite}}
{{UnsubscribeMessage}}</t>
        </is>
      </c>
      <c r="E25" t="n">
        <v>2</v>
      </c>
      <c r="F25" t="inlineStr">
        <is>
          <t>{{Header}}
{{Hero}}
&lt;div style="padding:12px 32px 0;font-size:15px;color:#334155;line-height:1.65;font-family:Arial,Helvetica,sans-serif;"&gt;Hi {{FirstName}},&lt;/div&gt;
&lt;div style="padding:12px 32px 0;font-size:15px;color:#334155;line-height:1.65;font-family:Arial,Helvetica,sans-serif;"&gt;Closing the loop — thanks for reading this far.&lt;/div&gt;
&lt;div style="padding:12px 32px 0;font-size:15px;color:#334155;line-height:1.65;font-family:Arial,Helvetica,sans-serif;"&gt;We help businesses turn Google Ads from a cost centre into a channel they can trust. When paid search makes sense for {{Company}}, that's our pitch.&lt;/div&gt;
&lt;div style="padding:12px 32px 0;font-size:15px;color:#334155;line-height:1.65;font-family:Arial,Helvetica,sans-serif;"&gt;All the best, and take care.&lt;/div&gt;
{{PortfolioShowcase}}
{{CtaButton}}
{{Divider}}
{{SignatureBlock}}
{{SocialLinks}}
{{Footer}}
{{UnsubscribeBlock}}</t>
        </is>
      </c>
      <c r="G25" t="inlineStr">
        <is>
          <t>See our work</t>
        </is>
      </c>
      <c r="H25" t="inlineStr"/>
      <c r="I25" t="inlineStr"/>
      <c r="J25" t="inlineStr"/>
      <c r="K25" t="inlineStr"/>
      <c r="L25" t="inlineStr">
        <is>
          <t>ACTIVE</t>
        </is>
      </c>
      <c r="M25" t="inlineStr">
        <is>
          <t>Final follow-up, variant 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12" customWidth="1" style="53" min="1" max="1"/>
    <col width="12" customWidth="1" style="53" min="2" max="2"/>
    <col width="12" customWidth="1" style="53" min="3" max="3"/>
    <col width="16" customWidth="1" style="53" min="4" max="4"/>
    <col width="12" customWidth="1" style="53" min="5" max="5"/>
    <col width="14" customWidth="1" style="53" min="6" max="6"/>
    <col width="18" customWidth="1" style="53" min="7" max="7"/>
    <col width="14" customWidth="1" style="53" min="8" max="8"/>
    <col width="12" customWidth="1" style="53" min="9" max="9"/>
    <col width="10" customWidth="1" style="53" min="10" max="10"/>
  </cols>
  <sheetData>
    <row r="1">
      <c r="A1" s="54" t="inlineStr">
        <is>
          <t>Theme</t>
        </is>
      </c>
      <c r="B1" s="54" t="inlineStr">
        <is>
          <t>Accent</t>
        </is>
      </c>
      <c r="C1" s="54" t="inlineStr">
        <is>
          <t>Accent Dark</t>
        </is>
      </c>
      <c r="D1" s="54" t="inlineStr">
        <is>
          <t>Hero Background</t>
        </is>
      </c>
      <c r="E1" s="54" t="inlineStr">
        <is>
          <t>Hero Text</t>
        </is>
      </c>
      <c r="F1" s="54" t="inlineStr">
        <is>
          <t>Hero Subtext</t>
        </is>
      </c>
      <c r="G1" s="54" t="inlineStr">
        <is>
          <t>Button Background</t>
        </is>
      </c>
      <c r="H1" s="54" t="inlineStr">
        <is>
          <t>Button Text</t>
        </is>
      </c>
      <c r="I1" s="54" t="inlineStr">
        <is>
          <t>Card Border</t>
        </is>
      </c>
      <c r="J1" s="54" t="inlineStr">
        <is>
          <t>Status</t>
        </is>
      </c>
    </row>
    <row r="2">
      <c r="A2" t="inlineStr">
        <is>
          <t>website</t>
        </is>
      </c>
      <c r="B2" t="inlineStr">
        <is>
          <t>#2563EB</t>
        </is>
      </c>
      <c r="C2" t="inlineStr">
        <is>
          <t>#1D4ED8</t>
        </is>
      </c>
      <c r="D2" t="inlineStr">
        <is>
          <t>#2563EB</t>
        </is>
      </c>
      <c r="E2" t="inlineStr">
        <is>
          <t>#FFFFFF</t>
        </is>
      </c>
      <c r="F2" t="inlineStr">
        <is>
          <t>#DBEAFE</t>
        </is>
      </c>
      <c r="G2" t="inlineStr">
        <is>
          <t>#2563EB</t>
        </is>
      </c>
      <c r="H2" t="inlineStr">
        <is>
          <t>#FFFFFF</t>
        </is>
      </c>
      <c r="I2" t="inlineStr">
        <is>
          <t>#E2E8F0</t>
        </is>
      </c>
      <c r="J2" t="inlineStr">
        <is>
          <t>Active</t>
        </is>
      </c>
    </row>
    <row r="3">
      <c r="A3" t="inlineStr">
        <is>
          <t>seo</t>
        </is>
      </c>
      <c r="B3" t="inlineStr">
        <is>
          <t>#059669</t>
        </is>
      </c>
      <c r="C3" t="inlineStr">
        <is>
          <t>#047857</t>
        </is>
      </c>
      <c r="D3" t="inlineStr">
        <is>
          <t>#059669</t>
        </is>
      </c>
      <c r="E3" t="inlineStr">
        <is>
          <t>#FFFFFF</t>
        </is>
      </c>
      <c r="F3" t="inlineStr">
        <is>
          <t>#D1FAE5</t>
        </is>
      </c>
      <c r="G3" t="inlineStr">
        <is>
          <t>#059669</t>
        </is>
      </c>
      <c r="H3" t="inlineStr">
        <is>
          <t>#FFFFFF</t>
        </is>
      </c>
      <c r="I3" t="inlineStr">
        <is>
          <t>#E2E8F0</t>
        </is>
      </c>
      <c r="J3" t="inlineStr">
        <is>
          <t>Active</t>
        </is>
      </c>
    </row>
    <row r="4">
      <c r="A4" t="inlineStr">
        <is>
          <t>google-ads</t>
        </is>
      </c>
      <c r="B4" t="inlineStr">
        <is>
          <t>#EA580C</t>
        </is>
      </c>
      <c r="C4" t="inlineStr">
        <is>
          <t>#C2410C</t>
        </is>
      </c>
      <c r="D4" t="inlineStr">
        <is>
          <t>#EA580C</t>
        </is>
      </c>
      <c r="E4" t="inlineStr">
        <is>
          <t>#FFFFFF</t>
        </is>
      </c>
      <c r="F4" t="inlineStr">
        <is>
          <t>#FFEDD5</t>
        </is>
      </c>
      <c r="G4" t="inlineStr">
        <is>
          <t>#EA580C</t>
        </is>
      </c>
      <c r="H4" t="inlineStr">
        <is>
          <t>#FFFFFF</t>
        </is>
      </c>
      <c r="I4" t="inlineStr">
        <is>
          <t>#E2E8F0</t>
        </is>
      </c>
      <c r="J4" t="inlineStr">
        <is>
          <t>Active</t>
        </is>
      </c>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B43"/>
  <sheetViews>
    <sheetView workbookViewId="0">
      <selection activeCell="A1" sqref="A1"/>
    </sheetView>
  </sheetViews>
  <sheetFormatPr baseColWidth="8" defaultColWidth="12.63" defaultRowHeight="15.75" customHeight="1"/>
  <sheetData>
    <row r="1">
      <c r="A1" s="1" t="inlineStr">
        <is>
          <t>A — Setting</t>
        </is>
      </c>
      <c r="B1" s="2" t="inlineStr">
        <is>
          <t>B — Value</t>
        </is>
      </c>
    </row>
    <row r="2">
      <c r="A2" s="29" t="inlineStr">
        <is>
          <t>AUTOMATION_ENABLED</t>
        </is>
      </c>
      <c r="B2" s="4" t="b">
        <v>1</v>
      </c>
    </row>
    <row r="3">
      <c r="A3" s="29" t="inlineStr">
        <is>
          <t>DAILY_LIMIT</t>
        </is>
      </c>
      <c r="B3" s="4" t="n">
        <v>35</v>
      </c>
    </row>
    <row r="4">
      <c r="A4" s="29" t="inlineStr">
        <is>
          <t>FOLLOWUP_1_MINUTES</t>
        </is>
      </c>
      <c r="B4" s="4" t="n">
        <v>0</v>
      </c>
    </row>
    <row r="5">
      <c r="A5" s="29" t="inlineStr">
        <is>
          <t>FOLLOWUP_2_MINUTES</t>
        </is>
      </c>
      <c r="B5" s="4" t="n">
        <v>0</v>
      </c>
    </row>
    <row r="6">
      <c r="A6" s="29" t="inlineStr">
        <is>
          <t>FOLLOWUP_3_MINUTES</t>
        </is>
      </c>
      <c r="B6" s="4" t="n">
        <v>0</v>
      </c>
    </row>
    <row r="7">
      <c r="A7" s="29" t="inlineStr">
        <is>
          <t>TEST_MODE</t>
        </is>
      </c>
      <c r="B7" s="4" t="b">
        <v>0</v>
      </c>
    </row>
    <row r="8">
      <c r="A8" s="29" t="inlineStr">
        <is>
          <t>TEST_EMAIL</t>
        </is>
      </c>
      <c r="B8" s="12" t="inlineStr">
        <is>
          <t>divyantiwariuni4@gmail.com</t>
        </is>
      </c>
    </row>
    <row r="9">
      <c r="A9" s="29" t="inlineStr">
        <is>
          <t>NEXT_SERVICE_MINUTES</t>
        </is>
      </c>
      <c r="B9" s="29" t="n">
        <v>0</v>
      </c>
    </row>
    <row r="10">
      <c r="A10" s="29" t="inlineStr">
        <is>
          <t>FAST_TEST_MODE</t>
        </is>
      </c>
      <c r="B10" s="29" t="b">
        <v>1</v>
      </c>
    </row>
    <row r="11">
      <c r="A11" s="14" t="inlineStr">
        <is>
          <t>TIMEZONE</t>
        </is>
      </c>
      <c r="B11" s="14" t="inlineStr">
        <is>
          <t>Europe/London</t>
        </is>
      </c>
    </row>
    <row r="12">
      <c r="A12" s="14" t="inlineStr">
        <is>
          <t>WORKING_DAYS</t>
        </is>
      </c>
      <c r="B12" s="14" t="inlineStr">
        <is>
          <t>MON,TUE,WED,THU,FRI</t>
        </is>
      </c>
    </row>
    <row r="13">
      <c r="A13" s="14" t="inlineStr">
        <is>
          <t>SEND_START_HOUR</t>
        </is>
      </c>
      <c r="B13" s="16" t="n">
        <v>9</v>
      </c>
    </row>
    <row r="14">
      <c r="A14" s="14" t="inlineStr">
        <is>
          <t>SEND_END_HOUR</t>
        </is>
      </c>
      <c r="B14" s="16" t="n">
        <v>17</v>
      </c>
    </row>
    <row r="15">
      <c r="A15" s="14" t="inlineStr">
        <is>
          <t>FOLLOWUP_1_DAYS</t>
        </is>
      </c>
      <c r="B15" s="16" t="n">
        <v>2</v>
      </c>
    </row>
    <row r="16">
      <c r="A16" s="14" t="inlineStr">
        <is>
          <t>FOLLOWUP_2_DAYS</t>
        </is>
      </c>
      <c r="B16" s="16" t="n">
        <v>5</v>
      </c>
    </row>
    <row r="17">
      <c r="A17" s="14" t="inlineStr">
        <is>
          <t>FOLLOWUP_3_DAYS</t>
        </is>
      </c>
      <c r="B17" s="16" t="n">
        <v>7</v>
      </c>
    </row>
    <row r="18">
      <c r="A18" s="29" t="inlineStr">
        <is>
          <t>NEXT_SERVICE_DAYS</t>
        </is>
      </c>
      <c r="B18" s="29" t="n">
        <v>1</v>
      </c>
    </row>
    <row r="19">
      <c r="A19" s="29" t="inlineStr">
        <is>
          <t>PREVIEW_MODE</t>
        </is>
      </c>
      <c r="B19" s="29" t="b">
        <v>1</v>
      </c>
    </row>
    <row r="20">
      <c r="A20" s="29" t="inlineStr">
        <is>
          <t>SENDER_NAME</t>
        </is>
      </c>
      <c r="B20" s="29" t="inlineStr">
        <is>
          <t>Divyan Tiwari</t>
        </is>
      </c>
    </row>
    <row r="21">
      <c r="A21" s="29" t="inlineStr">
        <is>
          <t>REPLY_TO_EMAIL</t>
        </is>
      </c>
      <c r="B21" s="29" t="inlineStr">
        <is>
          <t>djgamer454@gmail.com</t>
        </is>
      </c>
    </row>
    <row r="22">
      <c r="A22" s="29" t="inlineStr">
        <is>
          <t>EMAIL_SIGNATURE</t>
        </is>
      </c>
      <c r="B22" s="29" t="inlineStr">
        <is>
          <t>Regards,
{{SenderName}}
{{SenderRole}}, {{CompanyName}}</t>
        </is>
      </c>
    </row>
    <row r="23">
      <c r="A23" t="inlineStr">
        <is>
          <t>COMPANY_NAME</t>
        </is>
      </c>
      <c r="B23" t="inlineStr">
        <is>
          <t>Dynamiser Solutions</t>
        </is>
      </c>
    </row>
    <row r="24">
      <c r="A24" t="inlineStr">
        <is>
          <t>COMPANY_WEBSITE</t>
        </is>
      </c>
      <c r="B24" t="inlineStr">
        <is>
          <t>https://dynamisers.com</t>
        </is>
      </c>
    </row>
    <row r="25">
      <c r="A25" t="inlineStr">
        <is>
          <t>COMPANY_EMAIL</t>
        </is>
      </c>
      <c r="B25" t="inlineStr">
        <is>
          <t>djgamer454@gmail.com</t>
        </is>
      </c>
    </row>
    <row r="26">
      <c r="A26" t="inlineStr">
        <is>
          <t>COMPANY_PHONE</t>
        </is>
      </c>
      <c r="B26" t="inlineStr"/>
    </row>
    <row r="27">
      <c r="A27" t="inlineStr">
        <is>
          <t>COMPANY_ADDRESS</t>
        </is>
      </c>
      <c r="B27" t="inlineStr"/>
    </row>
    <row r="28">
      <c r="A28" t="inlineStr">
        <is>
          <t>SOCIAL_LINKEDIN</t>
        </is>
      </c>
      <c r="B28" t="inlineStr">
        <is>
          <t>https://www.linkedin.com/company/dynamiser-solutions</t>
        </is>
      </c>
    </row>
    <row r="29">
      <c r="A29" t="inlineStr">
        <is>
          <t>SOCIAL_TWITTER</t>
        </is>
      </c>
      <c r="B29" t="inlineStr"/>
    </row>
    <row r="30">
      <c r="A30" t="inlineStr">
        <is>
          <t>SOCIAL_GITHUB</t>
        </is>
      </c>
      <c r="B30" t="inlineStr"/>
    </row>
    <row r="31">
      <c r="A31" t="inlineStr">
        <is>
          <t>PORTFOLIO_URL</t>
        </is>
      </c>
      <c r="B31" t="inlineStr">
        <is>
          <t>https://djgam454.github.io/Portfolio-Website/</t>
        </is>
      </c>
    </row>
    <row r="32">
      <c r="A32" t="inlineStr">
        <is>
          <t>DEFAULT_CTA_TEXT</t>
        </is>
      </c>
      <c r="B32" t="inlineStr">
        <is>
          <t>Reply to this email</t>
        </is>
      </c>
    </row>
    <row r="33">
      <c r="A33" t="inlineStr">
        <is>
          <t>DEFAULT_CTA_URL</t>
        </is>
      </c>
      <c r="B33" t="inlineStr"/>
    </row>
    <row r="34">
      <c r="A34" t="inlineStr">
        <is>
          <t>UNSUBSCRIBE_MESSAGE</t>
        </is>
      </c>
      <c r="B34" t="inlineStr">
        <is>
          <t>If this isn't relevant right now, just reply "not interested" and I won't contact you again.</t>
        </is>
      </c>
    </row>
    <row r="35">
      <c r="A35" t="inlineStr">
        <is>
          <t>SENDER_ROLE</t>
        </is>
      </c>
      <c r="B35" t="inlineStr">
        <is>
          <t>Business Development</t>
        </is>
      </c>
    </row>
    <row r="36">
      <c r="A36" t="inlineStr">
        <is>
          <t>HERO_TITLE</t>
        </is>
      </c>
      <c r="B36" t="inlineStr">
        <is>
          <t>Helping {{Company}} grow</t>
        </is>
      </c>
    </row>
    <row r="37">
      <c r="A37" t="inlineStr">
        <is>
          <t>HERO_SUBTITLE</t>
        </is>
      </c>
      <c r="B37" t="inlineStr">
        <is>
          <t>A short note from {{SenderName}} at {{CompanyName}}</t>
        </is>
      </c>
    </row>
    <row r="38">
      <c r="A38" t="inlineStr">
        <is>
          <t>SERVICE_BENEFIT_WEBSITE_DEVELOPMENT</t>
        </is>
      </c>
      <c r="B38" t="inlineStr">
        <is>
          <t>a website that builds trust and turns visitors into enquiries</t>
        </is>
      </c>
    </row>
    <row r="39">
      <c r="A39" t="inlineStr">
        <is>
          <t>SERVICE_BENEFIT_SEO</t>
        </is>
      </c>
      <c r="B39" t="inlineStr">
        <is>
          <t>visibility for the searches that actually matter to your business</t>
        </is>
      </c>
    </row>
    <row r="40">
      <c r="A40" t="inlineStr">
        <is>
          <t>SERVICE_BENEFIT_GOOGLE_ADS</t>
        </is>
      </c>
      <c r="B40" t="inlineStr">
        <is>
          <t>paid visibility in front of customers already looking for what you offer</t>
        </is>
      </c>
    </row>
    <row r="41">
      <c r="A41" t="inlineStr">
        <is>
          <t>SERVICE_FEATURES_WEBSITE_DEVELOPMENT</t>
        </is>
      </c>
      <c r="B41" t="inlineStr">
        <is>
          <t>["Modern, fast and mobile-friendly design", "Clear structure that guides visitors to enquire", "Easy to update and maintain"]</t>
        </is>
      </c>
    </row>
    <row r="42">
      <c r="A42" t="inlineStr">
        <is>
          <t>SERVICE_FEATURES_SEO</t>
        </is>
      </c>
      <c r="B42" t="inlineStr">
        <is>
          <t>["Focused work on the pages that matter most", "Technical and content fixes search engines reward", "Progress you can track, not vague promises"]</t>
        </is>
      </c>
    </row>
    <row r="43">
      <c r="A43" t="inlineStr">
        <is>
          <t>SERVICE_FEATURES_GOOGLE_ADS</t>
        </is>
      </c>
      <c r="B43" t="inlineStr">
        <is>
          <t>["Ads that only show for searches with clear intent", "Careful budgets, tested and adjusted", "Measured on leads and cost, not clicks"]</t>
        </is>
      </c>
    </row>
  </sheetData>
  <dataValidations count="2">
    <dataValidation sqref="B2 B7 B19" showDropDown="0" showInputMessage="0" showErrorMessage="1" allowBlank="1" type="list">
      <formula1>"TRUE,FALSE"</formula1>
    </dataValidation>
    <dataValidation sqref="B10" showDropDown="0" showInputMessage="0" showErrorMessage="1" allowBlank="1" type="list">
      <formula1>"FALSE,TRUE"</formula1>
    </dataValidation>
  </dataValidations>
  <hyperlinks>
    <hyperlink xmlns:r="http://schemas.openxmlformats.org/officeDocument/2006/relationships" ref="B8" r:id="rId1"/>
  </hyperlink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J2"/>
  <sheetViews>
    <sheetView workbookViewId="0">
      <selection activeCell="A1" sqref="A1"/>
    </sheetView>
  </sheetViews>
  <sheetFormatPr baseColWidth="8" defaultColWidth="12.63" defaultRowHeight="15.75" customHeight="1"/>
  <cols>
    <col width="20" customWidth="1" style="53" min="1" max="1"/>
    <col width="10" customWidth="1" style="53" min="2" max="2"/>
    <col width="30" customWidth="1" style="53" min="3" max="3"/>
    <col width="24" customWidth="1" style="53" min="4" max="4"/>
    <col width="22" customWidth="1" style="53" min="5" max="5"/>
    <col width="12" customWidth="1" style="53" min="6" max="6"/>
    <col width="45" customWidth="1" style="53" min="7" max="7"/>
    <col width="10" customWidth="1" style="53" min="8" max="8"/>
    <col width="60" customWidth="1" style="53" min="9" max="9"/>
    <col width="70" customWidth="1" style="53" min="10" max="10"/>
  </cols>
  <sheetData>
    <row r="1">
      <c r="A1" s="54" t="inlineStr">
        <is>
          <t>Generated At</t>
        </is>
      </c>
      <c r="B1" s="54" t="inlineStr">
        <is>
          <t>Lead ID</t>
        </is>
      </c>
      <c r="C1" s="54" t="inlineStr">
        <is>
          <t>Email</t>
        </is>
      </c>
      <c r="D1" s="54" t="inlineStr">
        <is>
          <t>Company</t>
        </is>
      </c>
      <c r="E1" s="54" t="inlineStr">
        <is>
          <t>Service</t>
        </is>
      </c>
      <c r="F1" s="54" t="inlineStr">
        <is>
          <t>Step</t>
        </is>
      </c>
      <c r="G1" s="54" t="inlineStr">
        <is>
          <t>Subject</t>
        </is>
      </c>
      <c r="H1" s="54" t="inlineStr">
        <is>
          <t>Variant ID</t>
        </is>
      </c>
      <c r="I1" s="54" t="inlineStr">
        <is>
          <t>Plain Text Preview</t>
        </is>
      </c>
      <c r="J1" s="54" t="inlineStr">
        <is>
          <t>HTML Preview</t>
        </is>
      </c>
    </row>
    <row r="2">
      <c r="A2" s="8" t="n">
        <v>46233.4815283912</v>
      </c>
      <c r="B2" s="29" t="n">
        <v>3</v>
      </c>
      <c r="C2" s="29" t="inlineStr">
        <is>
          <t>dynamisers@gmail.com</t>
        </is>
      </c>
      <c r="D2" s="29" t="inlineStr">
        <is>
          <t>Dynamisers</t>
        </is>
      </c>
      <c r="E2" s="29" t="inlineStr">
        <is>
          <t>Website Development</t>
        </is>
      </c>
      <c r="F2" s="29" t="inlineStr">
        <is>
          <t>EMAIL_1</t>
        </is>
      </c>
      <c r="G2" s="29" t="inlineStr">
        <is>
          <t>SUBJECT:
A website idea for Dynamisers
BODY:
Hi Sudipti,
As an agency scaling digital experiences for global startups and enterprises over the past 11 years, you know how crucial the web is.
At Dynamisers, we look at a website as more than an online presence — it should communicate your value clearly, guide the right visitors and turn interest into meaningful enquiries.
Having built 700+ websites, our approach brings together design, responsive development, performance, SEO-readiness and conversion-focused user journeys.
For Dynamisers, we'd be happy to identify a few practical opportunities across the visitor experience and the path from first visit to enquiry — without assuming a complete rebuild is necessary.
Would it be useful if I sent over a few initial ideas?
Regards,
Divyan Tiwari, 
Dynamiser Solutions</t>
        </is>
      </c>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K212"/>
  <sheetViews>
    <sheetView workbookViewId="0">
      <pane ySplit="1" topLeftCell="A2" activePane="bottomLeft" state="frozen"/>
      <selection pane="bottomLeft" activeCell="B3" sqref="B3"/>
    </sheetView>
  </sheetViews>
  <sheetFormatPr baseColWidth="8" defaultColWidth="12.63" defaultRowHeight="15.75" customHeight="1"/>
  <cols>
    <col width="18" customWidth="1" style="53" min="1" max="1"/>
    <col width="14.38" customWidth="1" style="53" min="2" max="2"/>
    <col width="23.63" customWidth="1" style="53" min="3" max="3"/>
    <col width="13.13" customWidth="1" style="53" min="5" max="5"/>
    <col width="18.38" customWidth="1" style="53" min="6" max="6"/>
    <col width="17.38" customWidth="1" style="53" min="7" max="7"/>
    <col width="19.13" customWidth="1" style="53" min="8" max="8"/>
    <col width="17.5" customWidth="1" style="53" min="9" max="9"/>
  </cols>
  <sheetData>
    <row r="1" ht="22.5" customHeight="1" s="53">
      <c r="A1" s="17" t="inlineStr">
        <is>
          <t>Timestamp</t>
        </is>
      </c>
      <c r="B1" s="17" t="inlineStr">
        <is>
          <t>Lead ID</t>
        </is>
      </c>
      <c r="C1" s="17" t="inlineStr">
        <is>
          <t>Email</t>
        </is>
      </c>
      <c r="D1" s="17" t="inlineStr">
        <is>
          <t>Action</t>
        </is>
      </c>
      <c r="E1" s="17" t="inlineStr">
        <is>
          <t>Campaign</t>
        </is>
      </c>
      <c r="F1" s="17" t="inlineStr">
        <is>
          <t>Service</t>
        </is>
      </c>
      <c r="G1" s="17" t="inlineStr">
        <is>
          <t>Status</t>
        </is>
      </c>
      <c r="H1" s="17" t="inlineStr">
        <is>
          <t>Gmail Message ID</t>
        </is>
      </c>
      <c r="I1" s="17" t="inlineStr">
        <is>
          <t>Gmail Thread ID</t>
        </is>
      </c>
      <c r="J1" s="17" t="inlineStr">
        <is>
          <t>Result</t>
        </is>
      </c>
      <c r="K1" s="17" t="inlineStr">
        <is>
          <t>Error</t>
        </is>
      </c>
    </row>
    <row r="2" ht="22.5" customHeight="1" s="53">
      <c r="A2" s="34" t="n">
        <v>46230.61615936342</v>
      </c>
      <c r="B2" s="37" t="n">
        <v>1</v>
      </c>
      <c r="C2" s="21" t="inlineStr">
        <is>
          <t>divyantiwariuni4@gmail.com</t>
        </is>
      </c>
      <c r="D2" s="37" t="inlineStr">
        <is>
          <t>FOLLOWUP_1</t>
        </is>
      </c>
      <c r="F2" s="37" t="inlineStr">
        <is>
          <t>Website Development</t>
        </is>
      </c>
      <c r="G2" s="37" t="inlineStr">
        <is>
          <t>FOLLOWUP_1_SENT</t>
        </is>
      </c>
      <c r="I2" s="37" t="inlineStr">
        <is>
          <t>19fa2dbadfc06a6e</t>
        </is>
      </c>
      <c r="J2" s="37" t="inlineStr">
        <is>
          <t>SUCCESS</t>
        </is>
      </c>
    </row>
    <row r="3" ht="22.5" customHeight="1" s="53">
      <c r="A3" s="34" t="n">
        <v>46230.62283638889</v>
      </c>
      <c r="B3" s="37" t="n">
        <v>1</v>
      </c>
      <c r="C3" s="21" t="inlineStr">
        <is>
          <t>divyantiwariuni4@gmail.com</t>
        </is>
      </c>
      <c r="D3" s="37" t="inlineStr">
        <is>
          <t>EMAIL_1</t>
        </is>
      </c>
      <c r="E3" s="37" t="inlineStr">
        <is>
          <t>Service 1</t>
        </is>
      </c>
      <c r="F3" s="37" t="inlineStr">
        <is>
          <t>Website Development</t>
        </is>
      </c>
      <c r="G3" s="37" t="inlineStr">
        <is>
          <t>EMAIL_1_SENT</t>
        </is>
      </c>
      <c r="I3" s="37" t="inlineStr">
        <is>
          <t>19fa2e602fed7ab4</t>
        </is>
      </c>
      <c r="J3" s="37" t="inlineStr">
        <is>
          <t>SUCCESS</t>
        </is>
      </c>
    </row>
    <row r="4" ht="22.5" customHeight="1" s="53">
      <c r="A4" s="34" t="n">
        <v>46230.62929230324</v>
      </c>
      <c r="B4" s="37" t="n">
        <v>1</v>
      </c>
      <c r="C4" s="21" t="inlineStr">
        <is>
          <t>divyantiwariuni4@gmail.com</t>
        </is>
      </c>
      <c r="D4" s="37" t="inlineStr">
        <is>
          <t>FOLLOWUP_1</t>
        </is>
      </c>
      <c r="F4" s="37" t="inlineStr">
        <is>
          <t>Website Development</t>
        </is>
      </c>
      <c r="G4" s="37" t="inlineStr">
        <is>
          <t>FOLLOWUP_1_SENT</t>
        </is>
      </c>
      <c r="I4" s="37" t="inlineStr">
        <is>
          <t>19fa2e602fed7ab4</t>
        </is>
      </c>
      <c r="J4" s="37" t="inlineStr">
        <is>
          <t>SUCCESS</t>
        </is>
      </c>
    </row>
    <row r="5" ht="22.5" customHeight="1" s="53">
      <c r="A5" s="34" t="n">
        <v>46230.63115427084</v>
      </c>
      <c r="B5" s="37" t="n">
        <v>1</v>
      </c>
      <c r="C5" s="21" t="inlineStr">
        <is>
          <t>divyantiwariuni4@gmail.com</t>
        </is>
      </c>
      <c r="D5" s="37" t="inlineStr">
        <is>
          <t>FOLLOWUP_2</t>
        </is>
      </c>
      <c r="F5" s="37" t="inlineStr">
        <is>
          <t>Website Development</t>
        </is>
      </c>
      <c r="G5" s="37" t="inlineStr">
        <is>
          <t>FOLLOWUP_2_SENT</t>
        </is>
      </c>
      <c r="I5" s="37" t="inlineStr">
        <is>
          <t>19fa2e602fed7ab4</t>
        </is>
      </c>
      <c r="J5" s="37" t="inlineStr">
        <is>
          <t>SUCCESS</t>
        </is>
      </c>
    </row>
    <row r="6" ht="22.5" customHeight="1" s="53">
      <c r="A6" s="34" t="n">
        <v>46230.63414728009</v>
      </c>
      <c r="B6" s="37" t="n">
        <v>1</v>
      </c>
      <c r="C6" s="21" t="inlineStr">
        <is>
          <t>divyantiwariuni4@gmail.com</t>
        </is>
      </c>
      <c r="D6" s="37" t="inlineStr">
        <is>
          <t>FOLLOWUP_3</t>
        </is>
      </c>
      <c r="F6" s="37" t="inlineStr">
        <is>
          <t>Website Development</t>
        </is>
      </c>
      <c r="G6" s="37" t="inlineStr">
        <is>
          <t>FOLLOWUP_3_SENT</t>
        </is>
      </c>
      <c r="I6" s="37" t="inlineStr">
        <is>
          <t>19fa2e602fed7ab4</t>
        </is>
      </c>
      <c r="J6" s="37" t="inlineStr">
        <is>
          <t>SUCCESS</t>
        </is>
      </c>
    </row>
    <row r="7" ht="22.5" customHeight="1" s="53">
      <c r="A7" s="34" t="n">
        <v>46230.63620170139</v>
      </c>
      <c r="B7" s="37" t="n">
        <v>1</v>
      </c>
      <c r="C7" s="21" t="inlineStr">
        <is>
          <t>divyantiwariuni4@gmail.com</t>
        </is>
      </c>
      <c r="D7" s="37" t="inlineStr">
        <is>
          <t>EMAIL_1</t>
        </is>
      </c>
      <c r="E7" s="37" t="inlineStr">
        <is>
          <t>Service 1</t>
        </is>
      </c>
      <c r="F7" s="37" t="inlineStr">
        <is>
          <t>Website Development</t>
        </is>
      </c>
      <c r="G7" s="37" t="inlineStr">
        <is>
          <t>EMAIL_1_SENT</t>
        </is>
      </c>
      <c r="I7" s="37" t="inlineStr">
        <is>
          <t>19fa2f79e31038b6</t>
        </is>
      </c>
      <c r="J7" s="37" t="inlineStr">
        <is>
          <t>SUCCESS</t>
        </is>
      </c>
    </row>
    <row r="8" ht="22.5" customHeight="1" s="53">
      <c r="A8" s="34" t="n">
        <v>46230.64909371528</v>
      </c>
      <c r="B8" s="37" t="n">
        <v>1</v>
      </c>
      <c r="C8" s="21" t="inlineStr">
        <is>
          <t>divyantiwariuni4@gmail.com</t>
        </is>
      </c>
      <c r="D8" s="37" t="inlineStr">
        <is>
          <t>EMAIL_1</t>
        </is>
      </c>
      <c r="E8" s="37" t="inlineStr">
        <is>
          <t>Service 1</t>
        </is>
      </c>
      <c r="F8" s="37" t="inlineStr">
        <is>
          <t>Website Development</t>
        </is>
      </c>
      <c r="G8" s="37" t="inlineStr">
        <is>
          <t>EMAIL_1_SENT</t>
        </is>
      </c>
      <c r="I8" s="37" t="inlineStr">
        <is>
          <t>19fa308a1478c40a</t>
        </is>
      </c>
      <c r="J8" s="37" t="inlineStr">
        <is>
          <t>SUCCESS</t>
        </is>
      </c>
    </row>
    <row r="9" ht="22.5" customHeight="1" s="53">
      <c r="A9" s="34" t="n">
        <v>46230.64912951389</v>
      </c>
      <c r="B9" s="37" t="n">
        <v>2</v>
      </c>
      <c r="C9" s="21" t="inlineStr">
        <is>
          <t>aryandivyan@gmail.com</t>
        </is>
      </c>
      <c r="D9" s="37" t="inlineStr">
        <is>
          <t>EMAIL_1</t>
        </is>
      </c>
      <c r="E9" s="37" t="inlineStr">
        <is>
          <t>Service 1</t>
        </is>
      </c>
      <c r="F9" s="37" t="inlineStr">
        <is>
          <t>Website Development</t>
        </is>
      </c>
      <c r="G9" s="37" t="inlineStr">
        <is>
          <t>EMAIL_1_SENT</t>
        </is>
      </c>
      <c r="I9" s="37" t="inlineStr">
        <is>
          <t>19fa308acd78363f</t>
        </is>
      </c>
      <c r="J9" s="37" t="inlineStr">
        <is>
          <t>SUCCESS</t>
        </is>
      </c>
    </row>
    <row r="10" ht="22.5" customHeight="1" s="53">
      <c r="A10" s="34" t="n">
        <v>46230.6534949537</v>
      </c>
      <c r="B10" s="37" t="n">
        <v>1</v>
      </c>
      <c r="C10" s="37" t="inlineStr">
        <is>
          <t>divyantiwariuni4@gmail.com</t>
        </is>
      </c>
      <c r="D10" s="37" t="inlineStr">
        <is>
          <t>EMAIL_1</t>
        </is>
      </c>
      <c r="E10" s="37" t="inlineStr">
        <is>
          <t>Service 1</t>
        </is>
      </c>
      <c r="F10" s="37" t="inlineStr">
        <is>
          <t>Website Development</t>
        </is>
      </c>
      <c r="G10" s="37" t="inlineStr">
        <is>
          <t>EMAIL_1_SENT</t>
        </is>
      </c>
      <c r="H10" s="37" t="n"/>
      <c r="I10" s="37" t="inlineStr">
        <is>
          <t>19fa30e6ce592466</t>
        </is>
      </c>
      <c r="J10" s="37" t="inlineStr">
        <is>
          <t>SUCCESS</t>
        </is>
      </c>
      <c r="K10" s="37" t="n"/>
    </row>
    <row r="11" ht="22.5" customHeight="1" s="53">
      <c r="A11" s="34" t="n">
        <v>46230.65417824074</v>
      </c>
      <c r="B11" s="37" t="n">
        <v>1</v>
      </c>
      <c r="C11" s="37" t="inlineStr">
        <is>
          <t>divyantiwariuni4@gmail.com</t>
        </is>
      </c>
      <c r="D11" s="37" t="inlineStr">
        <is>
          <t>FOLLOWUP_1</t>
        </is>
      </c>
      <c r="E11" s="37" t="n"/>
      <c r="F11" s="37" t="inlineStr">
        <is>
          <t>Website Development</t>
        </is>
      </c>
      <c r="G11" s="37" t="inlineStr">
        <is>
          <t>FOLLOWUP_1_SENT</t>
        </is>
      </c>
      <c r="H11" s="37" t="n"/>
      <c r="I11" s="37" t="inlineStr">
        <is>
          <t>19fa30e6ce592466</t>
        </is>
      </c>
      <c r="J11" s="37" t="inlineStr">
        <is>
          <t>SUCCESS</t>
        </is>
      </c>
      <c r="K11" s="37" t="n"/>
    </row>
    <row r="12" ht="22.5" customHeight="1" s="53">
      <c r="A12" s="34" t="n">
        <v>46230.65584652778</v>
      </c>
      <c r="B12" s="37" t="n">
        <v>1</v>
      </c>
      <c r="C12" s="37" t="inlineStr">
        <is>
          <t>divyantiwariuni4@gmail.com</t>
        </is>
      </c>
      <c r="D12" s="37" t="inlineStr">
        <is>
          <t>FOLLOWUP_2</t>
        </is>
      </c>
      <c r="E12" s="37" t="n"/>
      <c r="F12" s="37" t="inlineStr">
        <is>
          <t>Website Development</t>
        </is>
      </c>
      <c r="G12" s="37" t="inlineStr">
        <is>
          <t>FOLLOWUP_2_SENT</t>
        </is>
      </c>
      <c r="H12" s="37" t="n"/>
      <c r="I12" s="37" t="inlineStr">
        <is>
          <t>19fa30e6ce592466</t>
        </is>
      </c>
      <c r="J12" s="37" t="inlineStr">
        <is>
          <t>SUCCESS</t>
        </is>
      </c>
      <c r="K12" s="37" t="n"/>
    </row>
    <row r="13" ht="22.5" customHeight="1" s="53">
      <c r="A13" s="34" t="n">
        <v>46230.69536119213</v>
      </c>
      <c r="B13" s="37" t="n">
        <v>1</v>
      </c>
      <c r="C13" s="37" t="inlineStr">
        <is>
          <t>divyantiwariuni4@gmail.com</t>
        </is>
      </c>
      <c r="D13" s="37" t="inlineStr">
        <is>
          <t>CAMPAIGN_NO_REPLY</t>
        </is>
      </c>
      <c r="E13" s="37" t="n"/>
      <c r="F13" s="37" t="inlineStr">
        <is>
          <t>Website Development</t>
        </is>
      </c>
      <c r="G13" s="37" t="inlineStr">
        <is>
          <t>NOT_INTERESTED_SERVICE_1</t>
        </is>
      </c>
      <c r="H13" s="37" t="n"/>
      <c r="I13" s="37" t="inlineStr">
        <is>
          <t>19fa30e6ce592466</t>
        </is>
      </c>
      <c r="J13" s="37" t="inlineStr">
        <is>
          <t>SUCCESS</t>
        </is>
      </c>
      <c r="K13" s="37" t="n"/>
    </row>
    <row r="14" ht="22.5" customHeight="1" s="53">
      <c r="A14" s="34" t="n">
        <v>46230.69536804398</v>
      </c>
      <c r="B14" s="37" t="n">
        <v>1</v>
      </c>
      <c r="C14" s="37" t="inlineStr">
        <is>
          <t>divyantiwariuni4@gmail.com</t>
        </is>
      </c>
      <c r="D14" s="37" t="inlineStr">
        <is>
          <t>CAMPAIGN_STARTED</t>
        </is>
      </c>
      <c r="E14" s="37" t="inlineStr">
        <is>
          <t>Service 3</t>
        </is>
      </c>
      <c r="F14" s="37" t="inlineStr">
        <is>
          <t>Google Ads</t>
        </is>
      </c>
      <c r="G14" s="37" t="inlineStr">
        <is>
          <t>NEW</t>
        </is>
      </c>
      <c r="H14" s="37" t="n"/>
      <c r="I14" s="37" t="n"/>
      <c r="J14" s="37" t="inlineStr">
        <is>
          <t>SUCCESS</t>
        </is>
      </c>
      <c r="K14" s="37" t="n"/>
    </row>
    <row r="15" ht="22.5" customHeight="1" s="53">
      <c r="A15" s="34" t="n">
        <v>46230.69656326389</v>
      </c>
      <c r="B15" s="37" t="n">
        <v>1</v>
      </c>
      <c r="C15" s="37" t="inlineStr">
        <is>
          <t>divyantiwariuni4@gmail.com</t>
        </is>
      </c>
      <c r="D15" s="37" t="inlineStr">
        <is>
          <t>EMAIL_1</t>
        </is>
      </c>
      <c r="E15" s="37" t="inlineStr">
        <is>
          <t>Service 3</t>
        </is>
      </c>
      <c r="F15" s="37" t="inlineStr">
        <is>
          <t>Google Ads</t>
        </is>
      </c>
      <c r="G15" s="37" t="inlineStr">
        <is>
          <t>EMAIL_1_SENT</t>
        </is>
      </c>
      <c r="H15" s="37" t="n"/>
      <c r="I15" s="37" t="inlineStr">
        <is>
          <t>19fa34735e657623</t>
        </is>
      </c>
      <c r="J15" s="37" t="inlineStr">
        <is>
          <t>SUCCESS</t>
        </is>
      </c>
      <c r="K15" s="37" t="n"/>
    </row>
    <row r="16" ht="22.5" customHeight="1" s="53">
      <c r="A16" s="34" t="n">
        <v>46230.69784903935</v>
      </c>
      <c r="B16" s="37" t="n">
        <v>1</v>
      </c>
      <c r="C16" s="37" t="inlineStr">
        <is>
          <t>divyantiwariuni4@gmail.com</t>
        </is>
      </c>
      <c r="D16" s="37" t="inlineStr">
        <is>
          <t>CAMPAIGN_NO_REPLY</t>
        </is>
      </c>
      <c r="E16" s="37" t="n"/>
      <c r="F16" s="37" t="inlineStr">
        <is>
          <t>Google Ads</t>
        </is>
      </c>
      <c r="G16" s="37" t="inlineStr">
        <is>
          <t>NOT_INTERESTED_SERVICE_3</t>
        </is>
      </c>
      <c r="H16" s="37" t="n"/>
      <c r="I16" s="37" t="inlineStr">
        <is>
          <t>19fa34735e657623</t>
        </is>
      </c>
      <c r="J16" s="37" t="inlineStr">
        <is>
          <t>SUCCESS</t>
        </is>
      </c>
      <c r="K16" s="37" t="n"/>
    </row>
    <row r="17" ht="22.5" customHeight="1" s="53">
      <c r="A17" s="34" t="n">
        <v>46230.69785553241</v>
      </c>
      <c r="B17" s="37" t="n">
        <v>1</v>
      </c>
      <c r="C17" s="37" t="inlineStr">
        <is>
          <t>divyantiwariuni4@gmail.com</t>
        </is>
      </c>
      <c r="D17" s="37" t="inlineStr">
        <is>
          <t>ALL_CAMPAIGNS_COMPLETED</t>
        </is>
      </c>
      <c r="E17" s="37" t="n"/>
      <c r="F17" s="37" t="inlineStr">
        <is>
          <t>Google Ads</t>
        </is>
      </c>
      <c r="G17" s="37" t="inlineStr">
        <is>
          <t>COMPLETED</t>
        </is>
      </c>
      <c r="H17" s="37" t="n"/>
      <c r="I17" s="37" t="inlineStr">
        <is>
          <t>19fa34735e657623</t>
        </is>
      </c>
      <c r="J17" s="37" t="inlineStr">
        <is>
          <t>SUCCESS</t>
        </is>
      </c>
      <c r="K17" s="37" t="n"/>
    </row>
    <row r="18" ht="22.5" customHeight="1" s="53">
      <c r="A18" s="34" t="n">
        <v>46230.7034802662</v>
      </c>
      <c r="B18" s="37" t="n">
        <v>1</v>
      </c>
      <c r="C18" s="37" t="inlineStr">
        <is>
          <t>divyantiwariuni4@gmail.com</t>
        </is>
      </c>
      <c r="D18" s="37" t="inlineStr">
        <is>
          <t>CAMPAIGN_NO_REPLY</t>
        </is>
      </c>
      <c r="E18" s="37" t="n"/>
      <c r="F18" s="37" t="inlineStr">
        <is>
          <t>Website Development</t>
        </is>
      </c>
      <c r="G18" s="37" t="inlineStr">
        <is>
          <t>NOT_INTERESTED_SERVICE_1</t>
        </is>
      </c>
      <c r="H18" s="37" t="n"/>
      <c r="I18" s="37" t="inlineStr">
        <is>
          <t>19fa34735e657623</t>
        </is>
      </c>
      <c r="J18" s="37" t="inlineStr">
        <is>
          <t>SUCCESS</t>
        </is>
      </c>
      <c r="K18" s="37" t="n"/>
    </row>
    <row r="19" ht="22.5" customHeight="1" s="53">
      <c r="A19" s="34" t="n">
        <v>46230.7034890625</v>
      </c>
      <c r="B19" s="37" t="n">
        <v>1</v>
      </c>
      <c r="C19" s="37" t="inlineStr">
        <is>
          <t>divyantiwariuni4@gmail.com</t>
        </is>
      </c>
      <c r="D19" s="37" t="inlineStr">
        <is>
          <t>CAMPAIGN_STARTED</t>
        </is>
      </c>
      <c r="E19" s="37" t="inlineStr">
        <is>
          <t>Service 2</t>
        </is>
      </c>
      <c r="F19" s="37" t="inlineStr">
        <is>
          <t>Google Ads</t>
        </is>
      </c>
      <c r="G19" s="37" t="inlineStr">
        <is>
          <t>NEW</t>
        </is>
      </c>
      <c r="H19" s="37" t="n"/>
      <c r="I19" s="37" t="n"/>
      <c r="J19" s="37" t="inlineStr">
        <is>
          <t>SUCCESS</t>
        </is>
      </c>
      <c r="K19" s="37" t="n"/>
    </row>
    <row r="20" ht="22.5" customHeight="1" s="53">
      <c r="A20" s="34" t="n">
        <v>46230.70418487269</v>
      </c>
      <c r="B20" s="37" t="n">
        <v>1</v>
      </c>
      <c r="C20" s="37" t="inlineStr">
        <is>
          <t>divyantiwariuni4@gmail.com</t>
        </is>
      </c>
      <c r="D20" s="37" t="inlineStr">
        <is>
          <t>EMAIL_1</t>
        </is>
      </c>
      <c r="E20" s="37" t="inlineStr">
        <is>
          <t>Service 2</t>
        </is>
      </c>
      <c r="F20" s="37" t="inlineStr">
        <is>
          <t>Google Ads</t>
        </is>
      </c>
      <c r="G20" s="37" t="inlineStr">
        <is>
          <t>EMAIL_1_SENT</t>
        </is>
      </c>
      <c r="H20" s="37" t="n"/>
      <c r="I20" s="37" t="inlineStr">
        <is>
          <t>19fa35140cbb0d37</t>
        </is>
      </c>
      <c r="J20" s="37" t="inlineStr">
        <is>
          <t>SUCCESS</t>
        </is>
      </c>
      <c r="K20" s="37" t="n"/>
    </row>
    <row r="21" ht="22.5" customHeight="1" s="53">
      <c r="A21" s="34" t="n">
        <v>46230.71908732639</v>
      </c>
      <c r="B21" s="37" t="n">
        <v>1</v>
      </c>
      <c r="C21" s="37" t="inlineStr">
        <is>
          <t>divyantiwariuni4@gmail.com</t>
        </is>
      </c>
      <c r="D21" s="37" t="inlineStr">
        <is>
          <t>EMAIL_1</t>
        </is>
      </c>
      <c r="E21" s="37" t="inlineStr">
        <is>
          <t>Service 1</t>
        </is>
      </c>
      <c r="F21" s="37" t="inlineStr">
        <is>
          <t>Website Development</t>
        </is>
      </c>
      <c r="G21" s="37" t="inlineStr">
        <is>
          <t>EMAIL_1_SENT</t>
        </is>
      </c>
      <c r="H21" s="37" t="n"/>
      <c r="I21" s="37" t="inlineStr">
        <is>
          <t>19fa364e663891ee</t>
        </is>
      </c>
      <c r="J21" s="37" t="inlineStr">
        <is>
          <t>SUCCESS</t>
        </is>
      </c>
      <c r="K21" s="37" t="n"/>
    </row>
    <row r="22" ht="22.5" customHeight="1" s="53">
      <c r="A22" s="34" t="n">
        <v>46230.74021427083</v>
      </c>
      <c r="B22" s="37" t="n">
        <v>1</v>
      </c>
      <c r="C22" s="37" t="inlineStr">
        <is>
          <t>divyantiwariuni4@gmail.com</t>
        </is>
      </c>
      <c r="D22" s="37" t="inlineStr">
        <is>
          <t>FOLLOWUP_1</t>
        </is>
      </c>
      <c r="E22" s="37" t="n"/>
      <c r="F22" s="37" t="inlineStr">
        <is>
          <t>Website Development</t>
        </is>
      </c>
      <c r="G22" s="37" t="inlineStr">
        <is>
          <t>FOLLOWUP_1_SENT</t>
        </is>
      </c>
      <c r="H22" s="37" t="n"/>
      <c r="I22" s="37" t="inlineStr">
        <is>
          <t>19fa364e663891ee</t>
        </is>
      </c>
      <c r="J22" s="37" t="inlineStr">
        <is>
          <t>SUCCESS</t>
        </is>
      </c>
      <c r="K22" s="37" t="n"/>
    </row>
    <row r="23" ht="22.5" customHeight="1" s="53">
      <c r="A23" s="34" t="n">
        <v>46230.7533109375</v>
      </c>
      <c r="B23" s="37" t="n">
        <v>1</v>
      </c>
      <c r="C23" s="37" t="inlineStr">
        <is>
          <t>divyantiwariuni4@gmail.com</t>
        </is>
      </c>
      <c r="D23" s="37" t="inlineStr">
        <is>
          <t>FOLLOWUP_2</t>
        </is>
      </c>
      <c r="E23" s="37" t="n"/>
      <c r="F23" s="37" t="inlineStr">
        <is>
          <t>Website Development</t>
        </is>
      </c>
      <c r="G23" s="37" t="inlineStr">
        <is>
          <t>FOLLOWUP_2_SENT</t>
        </is>
      </c>
      <c r="H23" s="37" t="n"/>
      <c r="I23" s="37" t="inlineStr">
        <is>
          <t>19fa364e663891ee</t>
        </is>
      </c>
      <c r="J23" s="37" t="inlineStr">
        <is>
          <t>SUCCESS</t>
        </is>
      </c>
      <c r="K23" s="37" t="n"/>
    </row>
    <row r="24" ht="22.5" customHeight="1" s="53">
      <c r="A24" s="34" t="n">
        <v>46230.75335760417</v>
      </c>
      <c r="B24" s="37" t="n">
        <v>2</v>
      </c>
      <c r="C24" s="37" t="inlineStr">
        <is>
          <t>aryandivyan@gmail.com</t>
        </is>
      </c>
      <c r="D24" s="37" t="inlineStr">
        <is>
          <t>EMAIL_1</t>
        </is>
      </c>
      <c r="E24" s="37" t="inlineStr">
        <is>
          <t>Service 1</t>
        </is>
      </c>
      <c r="F24" s="37" t="inlineStr">
        <is>
          <t>Website Development</t>
        </is>
      </c>
      <c r="G24" s="37" t="inlineStr">
        <is>
          <t>EMAIL_1_SENT</t>
        </is>
      </c>
      <c r="H24" s="37" t="n"/>
      <c r="I24" s="37" t="inlineStr">
        <is>
          <t>19fa3921472d02ef</t>
        </is>
      </c>
      <c r="J24" s="37" t="inlineStr">
        <is>
          <t>SUCCESS</t>
        </is>
      </c>
      <c r="K24" s="37" t="n"/>
    </row>
    <row r="25" ht="22.5" customHeight="1" s="53">
      <c r="A25" s="34" t="n">
        <v>46230.75976335648</v>
      </c>
      <c r="B25" s="37" t="n">
        <v>1</v>
      </c>
      <c r="C25" s="37" t="inlineStr">
        <is>
          <t>divyantiwariuni4@gmail.com</t>
        </is>
      </c>
      <c r="D25" s="37" t="inlineStr">
        <is>
          <t>FOLLOWUP_3</t>
        </is>
      </c>
      <c r="E25" s="37" t="n"/>
      <c r="F25" s="37" t="inlineStr">
        <is>
          <t>Website Development</t>
        </is>
      </c>
      <c r="G25" s="37" t="inlineStr">
        <is>
          <t>FOLLOWUP_3_SENT</t>
        </is>
      </c>
      <c r="H25" s="37" t="n"/>
      <c r="I25" s="37" t="inlineStr">
        <is>
          <t>19fa364e663891ee</t>
        </is>
      </c>
      <c r="J25" s="37" t="inlineStr">
        <is>
          <t>SUCCESS</t>
        </is>
      </c>
      <c r="K25" s="37" t="n"/>
    </row>
    <row r="26" ht="22.5" customHeight="1" s="53">
      <c r="A26" s="34" t="n">
        <v>46230.75979494213</v>
      </c>
      <c r="B26" s="37" t="n">
        <v>2</v>
      </c>
      <c r="C26" s="37" t="inlineStr">
        <is>
          <t>aryandivyan@gmail.com</t>
        </is>
      </c>
      <c r="D26" s="37" t="inlineStr">
        <is>
          <t>FOLLOWUP_1</t>
        </is>
      </c>
      <c r="E26" s="37" t="n"/>
      <c r="F26" s="37" t="inlineStr">
        <is>
          <t>Website Development</t>
        </is>
      </c>
      <c r="G26" s="37" t="inlineStr">
        <is>
          <t>FOLLOWUP_1_SENT</t>
        </is>
      </c>
      <c r="H26" s="37" t="n"/>
      <c r="I26" s="37" t="inlineStr">
        <is>
          <t>19fa3921472d02ef</t>
        </is>
      </c>
      <c r="J26" s="37" t="inlineStr">
        <is>
          <t>SUCCESS</t>
        </is>
      </c>
      <c r="K26" s="37" t="n"/>
    </row>
    <row r="27" ht="22.5" customHeight="1" s="53">
      <c r="A27" s="34" t="n">
        <v>46230.75980052083</v>
      </c>
      <c r="B27" s="37" t="n">
        <v>999</v>
      </c>
      <c r="C27" s="37" t="inlineStr">
        <is>
          <t>this-is-not-an-email</t>
        </is>
      </c>
      <c r="D27" s="37" t="inlineStr">
        <is>
          <t>EMAIL_VALIDATION_FAILED</t>
        </is>
      </c>
      <c r="E27" s="37" t="inlineStr">
        <is>
          <t>Service 1</t>
        </is>
      </c>
      <c r="F27" s="37" t="inlineStr">
        <is>
          <t>Website Development</t>
        </is>
      </c>
      <c r="G27" s="37" t="inlineStr">
        <is>
          <t>INVALID</t>
        </is>
      </c>
      <c r="H27" s="37" t="n"/>
      <c r="I27" s="37" t="n"/>
      <c r="J27" s="37" t="inlineStr">
        <is>
          <t>FAILED</t>
        </is>
      </c>
      <c r="K27" s="37" t="inlineStr">
        <is>
          <t>Invalid email format</t>
        </is>
      </c>
    </row>
    <row r="28" ht="22.5" customHeight="1" s="53">
      <c r="A28" s="34" t="n">
        <v>46230.78411872685</v>
      </c>
      <c r="B28" s="37" t="n">
        <v>1</v>
      </c>
      <c r="C28" s="37" t="inlineStr">
        <is>
          <t>divyantiwariuni4@gmail.com</t>
        </is>
      </c>
      <c r="D28" s="37" t="inlineStr">
        <is>
          <t>EMAIL_1</t>
        </is>
      </c>
      <c r="E28" s="37" t="inlineStr">
        <is>
          <t>Service 1</t>
        </is>
      </c>
      <c r="F28" s="37" t="inlineStr">
        <is>
          <t>Website Development</t>
        </is>
      </c>
      <c r="G28" s="37" t="inlineStr">
        <is>
          <t>EMAIL_1_SENT</t>
        </is>
      </c>
      <c r="H28" s="37" t="n"/>
      <c r="I28" s="37" t="inlineStr">
        <is>
          <t>19fa3baa2fc4c7c9</t>
        </is>
      </c>
      <c r="J28" s="37" t="inlineStr">
        <is>
          <t>SUCCESS</t>
        </is>
      </c>
      <c r="K28" s="37" t="n"/>
    </row>
    <row r="29" ht="22.5" customHeight="1" s="53">
      <c r="A29" s="34" t="n">
        <v>46230.78415696759</v>
      </c>
      <c r="B29" s="37" t="n">
        <v>2</v>
      </c>
      <c r="C29" s="37" t="inlineStr">
        <is>
          <t>aryandivyan@gmail.com</t>
        </is>
      </c>
      <c r="D29" s="37" t="inlineStr">
        <is>
          <t>EMAIL_1</t>
        </is>
      </c>
      <c r="E29" s="37" t="inlineStr">
        <is>
          <t>Service 1</t>
        </is>
      </c>
      <c r="F29" s="37" t="inlineStr">
        <is>
          <t>Website Development</t>
        </is>
      </c>
      <c r="G29" s="37" t="inlineStr">
        <is>
          <t>EMAIL_1_SENT</t>
        </is>
      </c>
      <c r="H29" s="37" t="n"/>
      <c r="I29" s="37" t="inlineStr">
        <is>
          <t>19fa3bab02072fb2</t>
        </is>
      </c>
      <c r="J29" s="37" t="inlineStr">
        <is>
          <t>SUCCESS</t>
        </is>
      </c>
      <c r="K29" s="37" t="n"/>
    </row>
    <row r="30" ht="22.5" customHeight="1" s="53">
      <c r="A30" s="34" t="n">
        <v>46230.78416393518</v>
      </c>
      <c r="B30" s="37" t="n">
        <v>999</v>
      </c>
      <c r="C30" s="37" t="inlineStr">
        <is>
          <t>this-is-not-an-email</t>
        </is>
      </c>
      <c r="D30" s="37" t="inlineStr">
        <is>
          <t>EMAIL_VALIDATION_FAILED</t>
        </is>
      </c>
      <c r="E30" s="37" t="inlineStr">
        <is>
          <t>Service 1</t>
        </is>
      </c>
      <c r="F30" s="37" t="inlineStr">
        <is>
          <t>Website Development</t>
        </is>
      </c>
      <c r="G30" s="37" t="inlineStr">
        <is>
          <t>INVALID</t>
        </is>
      </c>
      <c r="H30" s="37" t="n"/>
      <c r="I30" s="37" t="n"/>
      <c r="J30" s="37" t="inlineStr">
        <is>
          <t>FAILED</t>
        </is>
      </c>
      <c r="K30" s="37" t="inlineStr">
        <is>
          <t>Invalid email format</t>
        </is>
      </c>
    </row>
    <row r="31" ht="22.5" customHeight="1" s="53">
      <c r="A31" s="34" t="n">
        <v>46230.78985592593</v>
      </c>
      <c r="B31" s="37" t="n">
        <v>1</v>
      </c>
      <c r="C31" s="37" t="inlineStr">
        <is>
          <t>divyantiwariuni4@gmail.com</t>
        </is>
      </c>
      <c r="D31" s="37" t="inlineStr">
        <is>
          <t>FOLLOWUP_1</t>
        </is>
      </c>
      <c r="E31" s="37" t="n"/>
      <c r="F31" s="37" t="inlineStr">
        <is>
          <t>Website Development</t>
        </is>
      </c>
      <c r="G31" s="37" t="inlineStr">
        <is>
          <t>FOLLOWUP_1_SENT</t>
        </is>
      </c>
      <c r="H31" s="37" t="n"/>
      <c r="I31" s="37" t="inlineStr">
        <is>
          <t>19fa3baa2fc4c7c9</t>
        </is>
      </c>
      <c r="J31" s="37" t="inlineStr">
        <is>
          <t>SUCCESS</t>
        </is>
      </c>
      <c r="K31" s="37" t="n"/>
    </row>
    <row r="32" ht="22.5" customHeight="1" s="53">
      <c r="A32" s="34" t="n">
        <v>46230.78987233796</v>
      </c>
      <c r="B32" s="37" t="n">
        <v>2</v>
      </c>
      <c r="C32" s="37" t="inlineStr">
        <is>
          <t>aryandivyan@gmail.com</t>
        </is>
      </c>
      <c r="D32" s="37" t="inlineStr">
        <is>
          <t>FOLLOWUP_1</t>
        </is>
      </c>
      <c r="E32" s="37" t="n"/>
      <c r="F32" s="37" t="inlineStr">
        <is>
          <t>Website Development</t>
        </is>
      </c>
      <c r="G32" s="37" t="inlineStr">
        <is>
          <t>FOLLOWUP_1_SENT</t>
        </is>
      </c>
      <c r="H32" s="37" t="n"/>
      <c r="I32" s="37" t="inlineStr">
        <is>
          <t>19fa3bab02072fb2</t>
        </is>
      </c>
      <c r="J32" s="37" t="inlineStr">
        <is>
          <t>SUCCESS</t>
        </is>
      </c>
      <c r="K32" s="37" t="n"/>
    </row>
    <row r="33" ht="22.5" customHeight="1" s="53">
      <c r="A33" s="34" t="n">
        <v>46231.46095575231</v>
      </c>
      <c r="B33" s="37" t="n">
        <v>1</v>
      </c>
      <c r="C33" s="37" t="inlineStr">
        <is>
          <t>divyantiwariuni4@gmail.com</t>
        </is>
      </c>
      <c r="D33" s="37" t="inlineStr">
        <is>
          <t>FOLLOWUP_THREAD_MISSING</t>
        </is>
      </c>
      <c r="E33" s="37" t="n"/>
      <c r="F33" s="37" t="inlineStr">
        <is>
          <t>Website Development</t>
        </is>
      </c>
      <c r="G33" s="37" t="inlineStr">
        <is>
          <t>FOLLOWUP_1_SENT</t>
        </is>
      </c>
      <c r="H33" s="37" t="n"/>
      <c r="I33" s="37" t="n"/>
      <c r="J33" s="37" t="inlineStr">
        <is>
          <t>FAILED</t>
        </is>
      </c>
      <c r="K33" s="37" t="inlineStr">
        <is>
          <t>Gmail Thread ID missing</t>
        </is>
      </c>
    </row>
    <row r="34" ht="22.5" customHeight="1" s="53">
      <c r="A34" s="34" t="n">
        <v>46231.46098074074</v>
      </c>
      <c r="B34" s="37" t="n">
        <v>999</v>
      </c>
      <c r="C34" s="37" t="inlineStr">
        <is>
          <t>this-is-not-an-email</t>
        </is>
      </c>
      <c r="D34" s="37" t="inlineStr">
        <is>
          <t>EMAIL_VALIDATION_FAILED</t>
        </is>
      </c>
      <c r="E34" s="37" t="inlineStr">
        <is>
          <t>Service 1</t>
        </is>
      </c>
      <c r="F34" s="37" t="inlineStr">
        <is>
          <t>Website Development</t>
        </is>
      </c>
      <c r="G34" s="37" t="inlineStr">
        <is>
          <t>INVALID</t>
        </is>
      </c>
      <c r="H34" s="37" t="n"/>
      <c r="I34" s="37" t="n"/>
      <c r="J34" s="37" t="inlineStr">
        <is>
          <t>FAILED</t>
        </is>
      </c>
      <c r="K34" s="37" t="inlineStr">
        <is>
          <t>Invalid email format</t>
        </is>
      </c>
    </row>
    <row r="35" ht="22.5" customHeight="1" s="53">
      <c r="A35" s="34" t="n">
        <v>46231.46106407407</v>
      </c>
      <c r="B35" s="37" t="n">
        <v>998</v>
      </c>
      <c r="C35" s="37" t="inlineStr">
        <is>
          <t>nonexistent@your-test-domain.example</t>
        </is>
      </c>
      <c r="D35" s="37" t="inlineStr">
        <is>
          <t>EMAIL_1</t>
        </is>
      </c>
      <c r="E35" s="37" t="inlineStr">
        <is>
          <t>Service 1</t>
        </is>
      </c>
      <c r="F35" s="37" t="inlineStr">
        <is>
          <t>Website Development</t>
        </is>
      </c>
      <c r="G35" s="37" t="inlineStr">
        <is>
          <t>EMAIL_1_SENT</t>
        </is>
      </c>
      <c r="H35" s="37" t="n"/>
      <c r="I35" s="37" t="inlineStr">
        <is>
          <t>19fa737196c16e79</t>
        </is>
      </c>
      <c r="J35" s="37" t="inlineStr">
        <is>
          <t>SUCCESS</t>
        </is>
      </c>
      <c r="K35" s="37" t="n"/>
    </row>
    <row r="36" ht="22.5" customHeight="1" s="53">
      <c r="A36" s="34" t="n">
        <v>46231.47246149305</v>
      </c>
      <c r="B36" s="37" t="n">
        <v>998</v>
      </c>
      <c r="C36" s="37" t="inlineStr">
        <is>
          <t>nonexistent@your-test-domain.example</t>
        </is>
      </c>
      <c r="D36" s="37" t="inlineStr">
        <is>
          <t>EMAIL_BOUNCED</t>
        </is>
      </c>
      <c r="E36" s="37" t="inlineStr">
        <is>
          <t>Service 1</t>
        </is>
      </c>
      <c r="F36" s="37" t="inlineStr">
        <is>
          <t>Website Development</t>
        </is>
      </c>
      <c r="G36" s="37" t="inlineStr">
        <is>
          <t>INVALID</t>
        </is>
      </c>
      <c r="H36" s="37" t="n"/>
      <c r="I36" s="37" t="inlineStr">
        <is>
          <t>19fa737196c16e79</t>
        </is>
      </c>
      <c r="J36" s="37" t="inlineStr">
        <is>
          <t>FAILED</t>
        </is>
      </c>
      <c r="K36" s="37" t="inlineStr">
        <is>
          <t>Delivery failure / bounced email</t>
        </is>
      </c>
    </row>
    <row r="37" ht="22.5" customHeight="1" s="53">
      <c r="A37" s="34" t="n">
        <v>46231.47260140046</v>
      </c>
      <c r="B37" s="37" t="n">
        <v>1</v>
      </c>
      <c r="C37" s="37" t="inlineStr">
        <is>
          <t>divyantiwariuni4@gmail.com</t>
        </is>
      </c>
      <c r="D37" s="37" t="inlineStr">
        <is>
          <t>EMAIL_1</t>
        </is>
      </c>
      <c r="E37" s="37" t="inlineStr">
        <is>
          <t>Service 1</t>
        </is>
      </c>
      <c r="F37" s="37" t="inlineStr">
        <is>
          <t>Website Development</t>
        </is>
      </c>
      <c r="G37" s="37" t="inlineStr">
        <is>
          <t>EMAIL_1_SENT</t>
        </is>
      </c>
      <c r="H37" s="37" t="n"/>
      <c r="I37" s="37" t="inlineStr">
        <is>
          <t>19fa7464eeea3206</t>
        </is>
      </c>
      <c r="J37" s="37" t="inlineStr">
        <is>
          <t>SUCCESS</t>
        </is>
      </c>
      <c r="K37" s="37" t="n"/>
    </row>
    <row r="38" ht="22.5" customHeight="1" s="53">
      <c r="A38" s="34" t="n">
        <v>46231.47266628472</v>
      </c>
      <c r="B38" s="37" t="n">
        <v>1</v>
      </c>
      <c r="C38" s="37" t="inlineStr">
        <is>
          <t>divyantiwariuni4@gmail.com</t>
        </is>
      </c>
      <c r="D38" s="37" t="inlineStr">
        <is>
          <t>FOLLOWUP_1</t>
        </is>
      </c>
      <c r="E38" s="37" t="n"/>
      <c r="F38" s="37" t="inlineStr">
        <is>
          <t>Website Development</t>
        </is>
      </c>
      <c r="G38" s="37" t="inlineStr">
        <is>
          <t>FOLLOWUP_1_SENT</t>
        </is>
      </c>
      <c r="H38" s="37" t="n"/>
      <c r="I38" s="37" t="inlineStr">
        <is>
          <t>19fa7464eeea3206</t>
        </is>
      </c>
      <c r="J38" s="37" t="inlineStr">
        <is>
          <t>SUCCESS</t>
        </is>
      </c>
      <c r="K38" s="37" t="n"/>
    </row>
    <row r="39" ht="22.5" customHeight="1" s="53">
      <c r="A39" s="34" t="n">
        <v>46231.47282269676</v>
      </c>
      <c r="B39" s="37" t="n">
        <v>1</v>
      </c>
      <c r="C39" s="37" t="inlineStr">
        <is>
          <t>divyantiwariuni4@gmail.com</t>
        </is>
      </c>
      <c r="D39" s="37" t="inlineStr">
        <is>
          <t>FOLLOWUP_2</t>
        </is>
      </c>
      <c r="E39" s="37" t="n"/>
      <c r="F39" s="37" t="inlineStr">
        <is>
          <t>Website Development</t>
        </is>
      </c>
      <c r="G39" s="37" t="inlineStr">
        <is>
          <t>FOLLOWUP_2_SENT</t>
        </is>
      </c>
      <c r="H39" s="37" t="n"/>
      <c r="I39" s="37" t="inlineStr">
        <is>
          <t>19fa7464eeea3206</t>
        </is>
      </c>
      <c r="J39" s="37" t="inlineStr">
        <is>
          <t>SUCCESS</t>
        </is>
      </c>
      <c r="K39" s="37" t="n"/>
    </row>
    <row r="40" ht="22.5" customHeight="1" s="53">
      <c r="A40" s="34" t="n">
        <v>46231.47291047453</v>
      </c>
      <c r="B40" s="37" t="n">
        <v>1</v>
      </c>
      <c r="C40" s="37" t="inlineStr">
        <is>
          <t>divyantiwariuni4@gmail.com</t>
        </is>
      </c>
      <c r="D40" s="37" t="inlineStr">
        <is>
          <t>FOLLOWUP_3</t>
        </is>
      </c>
      <c r="E40" s="37" t="n"/>
      <c r="F40" s="37" t="inlineStr">
        <is>
          <t>Website Development</t>
        </is>
      </c>
      <c r="G40" s="37" t="inlineStr">
        <is>
          <t>FOLLOWUP_3_SENT</t>
        </is>
      </c>
      <c r="H40" s="37" t="n"/>
      <c r="I40" s="37" t="inlineStr">
        <is>
          <t>19fa7464eeea3206</t>
        </is>
      </c>
      <c r="J40" s="37" t="inlineStr">
        <is>
          <t>SUCCESS</t>
        </is>
      </c>
      <c r="K40" s="37" t="n"/>
    </row>
    <row r="41" ht="22.5" customHeight="1" s="53">
      <c r="A41" s="34" t="n">
        <v>46231.47337678241</v>
      </c>
      <c r="B41" s="37" t="n">
        <v>1</v>
      </c>
      <c r="C41" s="37" t="inlineStr">
        <is>
          <t>divyantiwariuni4@gmail.com</t>
        </is>
      </c>
      <c r="D41" s="37" t="inlineStr">
        <is>
          <t>CAMPAIGN_NO_REPLY</t>
        </is>
      </c>
      <c r="E41" s="37" t="n"/>
      <c r="F41" s="37" t="inlineStr">
        <is>
          <t>Website Development</t>
        </is>
      </c>
      <c r="G41" s="37" t="inlineStr">
        <is>
          <t>NOT_INTERESTED_SERVICE_1</t>
        </is>
      </c>
      <c r="H41" s="37" t="n"/>
      <c r="I41" s="37" t="inlineStr">
        <is>
          <t>19fa7464eeea3206</t>
        </is>
      </c>
      <c r="J41" s="37" t="inlineStr">
        <is>
          <t>SUCCESS</t>
        </is>
      </c>
      <c r="K41" s="37" t="n"/>
    </row>
    <row r="42" ht="22.5" customHeight="1" s="53">
      <c r="A42" s="34" t="n">
        <v>46231.47338193287</v>
      </c>
      <c r="B42" s="37" t="n">
        <v>1</v>
      </c>
      <c r="C42" s="37" t="inlineStr">
        <is>
          <t>divyantiwariuni4@gmail.com</t>
        </is>
      </c>
      <c r="D42" s="37" t="inlineStr">
        <is>
          <t>CAMPAIGN_STARTED</t>
        </is>
      </c>
      <c r="E42" s="37" t="inlineStr">
        <is>
          <t>Service 2</t>
        </is>
      </c>
      <c r="F42" s="37" t="inlineStr">
        <is>
          <t>Google Ads</t>
        </is>
      </c>
      <c r="G42" s="37" t="inlineStr">
        <is>
          <t>NEW</t>
        </is>
      </c>
      <c r="H42" s="37" t="n"/>
      <c r="I42" s="37" t="n"/>
      <c r="J42" s="37" t="inlineStr">
        <is>
          <t>SUCCESS</t>
        </is>
      </c>
      <c r="K42" s="37" t="n"/>
    </row>
    <row r="43" ht="22.5" customHeight="1" s="53">
      <c r="A43" s="34" t="n">
        <v>46231.47341987269</v>
      </c>
      <c r="B43" s="37" t="n">
        <v>1</v>
      </c>
      <c r="C43" s="37" t="inlineStr">
        <is>
          <t>divyantiwariuni4@gmail.com</t>
        </is>
      </c>
      <c r="D43" s="37" t="inlineStr">
        <is>
          <t>EMAIL_1</t>
        </is>
      </c>
      <c r="E43" s="37" t="inlineStr">
        <is>
          <t>Service 2</t>
        </is>
      </c>
      <c r="F43" s="37" t="inlineStr">
        <is>
          <t>Google Ads</t>
        </is>
      </c>
      <c r="G43" s="37" t="inlineStr">
        <is>
          <t>EMAIL_1_SENT</t>
        </is>
      </c>
      <c r="H43" s="37" t="n"/>
      <c r="I43" s="37" t="inlineStr">
        <is>
          <t>19fa747629d302a4</t>
        </is>
      </c>
      <c r="J43" s="37" t="inlineStr">
        <is>
          <t>SUCCESS</t>
        </is>
      </c>
      <c r="K43" s="37" t="n"/>
    </row>
    <row r="44" ht="22.5" customHeight="1" s="53">
      <c r="A44" s="34" t="n">
        <v>46231.48150289352</v>
      </c>
      <c r="B44" s="37" t="n">
        <v>1</v>
      </c>
      <c r="C44" s="37" t="inlineStr">
        <is>
          <t>divyantiwariuni4@gmail.com</t>
        </is>
      </c>
      <c r="D44" s="37" t="inlineStr">
        <is>
          <t>EMAIL_1</t>
        </is>
      </c>
      <c r="E44" s="37" t="inlineStr">
        <is>
          <t>Service 1</t>
        </is>
      </c>
      <c r="F44" s="37" t="inlineStr">
        <is>
          <t>Website Development</t>
        </is>
      </c>
      <c r="G44" s="37" t="inlineStr">
        <is>
          <t>EMAIL_1_SENT</t>
        </is>
      </c>
      <c r="H44" s="37" t="n"/>
      <c r="I44" s="37" t="inlineStr">
        <is>
          <t>19fa7520bdd5c6b5</t>
        </is>
      </c>
      <c r="J44" s="37" t="inlineStr">
        <is>
          <t>SUCCESS</t>
        </is>
      </c>
      <c r="K44" s="37" t="n"/>
    </row>
    <row r="45" ht="22.5" customHeight="1" s="53">
      <c r="A45" s="34" t="n">
        <v>46231.48157655093</v>
      </c>
      <c r="B45" s="37" t="n">
        <v>1</v>
      </c>
      <c r="C45" s="37" t="inlineStr">
        <is>
          <t>divyantiwariuni4@gmail.com</t>
        </is>
      </c>
      <c r="D45" s="37" t="inlineStr">
        <is>
          <t>FOLLOWUP_1</t>
        </is>
      </c>
      <c r="E45" s="37" t="n"/>
      <c r="F45" s="37" t="inlineStr">
        <is>
          <t>Website Development</t>
        </is>
      </c>
      <c r="G45" s="37" t="inlineStr">
        <is>
          <t>FOLLOWUP_1_SENT</t>
        </is>
      </c>
      <c r="H45" s="37" t="n"/>
      <c r="I45" s="37" t="inlineStr">
        <is>
          <t>19fa7520bdd5c6b5</t>
        </is>
      </c>
      <c r="J45" s="37" t="inlineStr">
        <is>
          <t>SUCCESS</t>
        </is>
      </c>
      <c r="K45" s="37" t="n"/>
    </row>
    <row r="46" ht="22.5" customHeight="1" s="53">
      <c r="A46" s="34" t="n">
        <v>46231.48931545139</v>
      </c>
      <c r="B46" s="37" t="n">
        <v>1</v>
      </c>
      <c r="C46" s="37" t="inlineStr">
        <is>
          <t>divyantiwariuni4@gmail.com</t>
        </is>
      </c>
      <c r="D46" s="37" t="inlineStr">
        <is>
          <t>EMAIL_1</t>
        </is>
      </c>
      <c r="E46" s="37" t="inlineStr">
        <is>
          <t>Service 1</t>
        </is>
      </c>
      <c r="F46" s="37" t="inlineStr">
        <is>
          <t>Website Development</t>
        </is>
      </c>
      <c r="G46" s="37" t="inlineStr">
        <is>
          <t>EMAIL_1_SENT</t>
        </is>
      </c>
      <c r="H46" s="37" t="n"/>
      <c r="I46" s="37" t="inlineStr">
        <is>
          <t>19fa75c57c479dd3</t>
        </is>
      </c>
      <c r="J46" s="37" t="inlineStr">
        <is>
          <t>SUCCESS</t>
        </is>
      </c>
      <c r="K46" s="37" t="n"/>
    </row>
    <row r="47" ht="22.5" customHeight="1" s="53">
      <c r="A47" s="34" t="n">
        <v>46231.48968153935</v>
      </c>
      <c r="B47" s="37" t="n">
        <v>1</v>
      </c>
      <c r="C47" s="37" t="inlineStr">
        <is>
          <t>divyantiwariuni4@gmail.com</t>
        </is>
      </c>
      <c r="D47" s="37" t="inlineStr">
        <is>
          <t>FOLLOWUP_1</t>
        </is>
      </c>
      <c r="E47" s="37" t="n"/>
      <c r="F47" s="37" t="inlineStr">
        <is>
          <t>Website Development</t>
        </is>
      </c>
      <c r="G47" s="37" t="inlineStr">
        <is>
          <t>FOLLOWUP_1_SENT</t>
        </is>
      </c>
      <c r="H47" s="37" t="n"/>
      <c r="I47" s="37" t="inlineStr">
        <is>
          <t>19fa75c57c479dd3</t>
        </is>
      </c>
      <c r="J47" s="37" t="inlineStr">
        <is>
          <t>SUCCESS</t>
        </is>
      </c>
      <c r="K47" s="37" t="n"/>
    </row>
    <row r="48" ht="22.5" customHeight="1" s="53">
      <c r="A48" s="34" t="n">
        <v>46231.49061466436</v>
      </c>
      <c r="B48" s="37" t="n">
        <v>1</v>
      </c>
      <c r="C48" s="37" t="inlineStr">
        <is>
          <t>divyantiwariuni4@gmail.com</t>
        </is>
      </c>
      <c r="D48" s="37" t="inlineStr">
        <is>
          <t>FOLLOWUP_2</t>
        </is>
      </c>
      <c r="E48" s="37" t="n"/>
      <c r="F48" s="37" t="inlineStr">
        <is>
          <t>Website Development</t>
        </is>
      </c>
      <c r="G48" s="37" t="inlineStr">
        <is>
          <t>FOLLOWUP_2_SENT</t>
        </is>
      </c>
      <c r="H48" s="37" t="n"/>
      <c r="I48" s="37" t="inlineStr">
        <is>
          <t>19fa75c57c479dd3</t>
        </is>
      </c>
      <c r="J48" s="37" t="inlineStr">
        <is>
          <t>SUCCESS</t>
        </is>
      </c>
      <c r="K48" s="37" t="n"/>
    </row>
    <row r="49" ht="22.5" customHeight="1" s="53">
      <c r="A49" s="34" t="n">
        <v>46231.49079416667</v>
      </c>
      <c r="B49" s="37" t="n">
        <v>1</v>
      </c>
      <c r="C49" s="37" t="inlineStr">
        <is>
          <t>divyantiwariuni4@gmail.com</t>
        </is>
      </c>
      <c r="D49" s="37" t="inlineStr">
        <is>
          <t>FOLLOWUP_3</t>
        </is>
      </c>
      <c r="E49" s="37" t="n"/>
      <c r="F49" s="37" t="inlineStr">
        <is>
          <t>Website Development</t>
        </is>
      </c>
      <c r="G49" s="37" t="inlineStr">
        <is>
          <t>FOLLOWUP_3_SENT</t>
        </is>
      </c>
      <c r="H49" s="37" t="n"/>
      <c r="I49" s="37" t="inlineStr">
        <is>
          <t>19fa75c57c479dd3</t>
        </is>
      </c>
      <c r="J49" s="37" t="inlineStr">
        <is>
          <t>SUCCESS</t>
        </is>
      </c>
      <c r="K49" s="37" t="n"/>
    </row>
    <row r="50" ht="22.5" customHeight="1" s="53">
      <c r="A50" s="34" t="n">
        <v>46231.49109895834</v>
      </c>
      <c r="B50" s="37" t="n">
        <v>1</v>
      </c>
      <c r="C50" s="37" t="inlineStr">
        <is>
          <t>divyantiwariuni4@gmail.com</t>
        </is>
      </c>
      <c r="D50" s="37" t="inlineStr">
        <is>
          <t>CAMPAIGN_NO_REPLY</t>
        </is>
      </c>
      <c r="E50" s="37" t="n"/>
      <c r="F50" s="37" t="inlineStr">
        <is>
          <t>Website Development</t>
        </is>
      </c>
      <c r="G50" s="37" t="inlineStr">
        <is>
          <t>NOT_INTERESTED_SERVICE_1</t>
        </is>
      </c>
      <c r="H50" s="37" t="n"/>
      <c r="I50" s="37" t="inlineStr">
        <is>
          <t>19fa75c57c479dd3</t>
        </is>
      </c>
      <c r="J50" s="37" t="inlineStr">
        <is>
          <t>SUCCESS</t>
        </is>
      </c>
      <c r="K50" s="37" t="n"/>
    </row>
    <row r="51" ht="22.5" customHeight="1" s="53">
      <c r="A51" s="34" t="n">
        <v>46231.49110579861</v>
      </c>
      <c r="B51" s="37" t="n">
        <v>1</v>
      </c>
      <c r="C51" s="37" t="inlineStr">
        <is>
          <t>divyantiwariuni4@gmail.com</t>
        </is>
      </c>
      <c r="D51" s="37" t="inlineStr">
        <is>
          <t>CAMPAIGN_STARTED</t>
        </is>
      </c>
      <c r="E51" s="37" t="inlineStr">
        <is>
          <t>Service 2</t>
        </is>
      </c>
      <c r="F51" s="37" t="inlineStr">
        <is>
          <t>Google Ads</t>
        </is>
      </c>
      <c r="G51" s="37" t="inlineStr">
        <is>
          <t>NEW</t>
        </is>
      </c>
      <c r="H51" s="37" t="n"/>
      <c r="I51" s="37" t="n"/>
      <c r="J51" s="37" t="inlineStr">
        <is>
          <t>SUCCESS</t>
        </is>
      </c>
      <c r="K51" s="37" t="n"/>
    </row>
    <row r="52" ht="22.5" customHeight="1" s="53">
      <c r="A52" s="34" t="n">
        <v>46231.49115707176</v>
      </c>
      <c r="B52" s="37" t="n">
        <v>1</v>
      </c>
      <c r="C52" s="37" t="inlineStr">
        <is>
          <t>divyantiwariuni4@gmail.com</t>
        </is>
      </c>
      <c r="D52" s="37" t="inlineStr">
        <is>
          <t>EMAIL_1</t>
        </is>
      </c>
      <c r="E52" s="37" t="inlineStr">
        <is>
          <t>Service 2</t>
        </is>
      </c>
      <c r="F52" s="37" t="inlineStr">
        <is>
          <t>Google Ads</t>
        </is>
      </c>
      <c r="G52" s="37" t="inlineStr">
        <is>
          <t>EMAIL_1_SENT</t>
        </is>
      </c>
      <c r="H52" s="37" t="n"/>
      <c r="I52" s="37" t="inlineStr">
        <is>
          <t>19fa75ec507d38ec</t>
        </is>
      </c>
      <c r="J52" s="37" t="inlineStr">
        <is>
          <t>SUCCESS</t>
        </is>
      </c>
      <c r="K52" s="37" t="n"/>
    </row>
    <row r="53" ht="22.5" customHeight="1" s="53">
      <c r="A53" s="34" t="n">
        <v>46231.50108783565</v>
      </c>
      <c r="B53" s="37" t="n">
        <v>1</v>
      </c>
      <c r="C53" s="37" t="inlineStr">
        <is>
          <t>divyantiwariuni4@gmail.com</t>
        </is>
      </c>
      <c r="D53" s="37" t="inlineStr">
        <is>
          <t>FOLLOWUP_1</t>
        </is>
      </c>
      <c r="E53" s="37" t="n"/>
      <c r="F53" s="37" t="inlineStr">
        <is>
          <t>Google Ads</t>
        </is>
      </c>
      <c r="G53" s="37" t="inlineStr">
        <is>
          <t>FOLLOWUP_1_SENT</t>
        </is>
      </c>
      <c r="H53" s="37" t="n"/>
      <c r="I53" s="37" t="inlineStr">
        <is>
          <t>19fa75ec507d38ec</t>
        </is>
      </c>
      <c r="J53" s="37" t="inlineStr">
        <is>
          <t>SUCCESS</t>
        </is>
      </c>
      <c r="K53" s="37" t="n"/>
    </row>
    <row r="54" ht="22.5" customHeight="1" s="53">
      <c r="A54" s="34" t="n">
        <v>46231.50180167824</v>
      </c>
      <c r="B54" s="37" t="n">
        <v>1</v>
      </c>
      <c r="C54" s="37" t="inlineStr">
        <is>
          <t>divyantiwariuni4@gmail.com</t>
        </is>
      </c>
      <c r="D54" s="37" t="inlineStr">
        <is>
          <t>FOLLOWUP_2</t>
        </is>
      </c>
      <c r="E54" s="37" t="n"/>
      <c r="F54" s="37" t="inlineStr">
        <is>
          <t>Google Ads</t>
        </is>
      </c>
      <c r="G54" s="37" t="inlineStr">
        <is>
          <t>FOLLOWUP_2_SENT</t>
        </is>
      </c>
      <c r="H54" s="37" t="n"/>
      <c r="I54" s="37" t="inlineStr">
        <is>
          <t>19fa75ec507d38ec</t>
        </is>
      </c>
      <c r="J54" s="37" t="inlineStr">
        <is>
          <t>SUCCESS</t>
        </is>
      </c>
      <c r="K54" s="37" t="n"/>
    </row>
    <row r="55" ht="22.5" customHeight="1" s="53">
      <c r="A55" s="34" t="n">
        <v>46231.50248028935</v>
      </c>
      <c r="B55" s="37" t="n">
        <v>1</v>
      </c>
      <c r="C55" s="37" t="inlineStr">
        <is>
          <t>divyantiwariuni4@gmail.com</t>
        </is>
      </c>
      <c r="D55" s="37" t="inlineStr">
        <is>
          <t>FOLLOWUP_3</t>
        </is>
      </c>
      <c r="E55" s="37" t="n"/>
      <c r="F55" s="37" t="inlineStr">
        <is>
          <t>Google Ads</t>
        </is>
      </c>
      <c r="G55" s="37" t="inlineStr">
        <is>
          <t>FOLLOWUP_3_SENT</t>
        </is>
      </c>
      <c r="H55" s="37" t="n"/>
      <c r="I55" s="37" t="inlineStr">
        <is>
          <t>19fa75ec507d38ec</t>
        </is>
      </c>
      <c r="J55" s="37" t="inlineStr">
        <is>
          <t>SUCCESS</t>
        </is>
      </c>
      <c r="K55" s="37" t="n"/>
    </row>
    <row r="56" ht="22.5" customHeight="1" s="53">
      <c r="A56" s="34" t="n">
        <v>46231.50315866898</v>
      </c>
      <c r="B56" s="37" t="n">
        <v>1</v>
      </c>
      <c r="C56" s="37" t="inlineStr">
        <is>
          <t>divyantiwariuni4@gmail.com</t>
        </is>
      </c>
      <c r="D56" s="37" t="inlineStr">
        <is>
          <t>CAMPAIGN_NO_REPLY</t>
        </is>
      </c>
      <c r="E56" s="37" t="n"/>
      <c r="F56" s="37" t="inlineStr">
        <is>
          <t>Google Ads</t>
        </is>
      </c>
      <c r="G56" s="37" t="inlineStr">
        <is>
          <t>NOT_INTERESTED_SERVICE_1</t>
        </is>
      </c>
      <c r="H56" s="37" t="n"/>
      <c r="I56" s="37" t="inlineStr">
        <is>
          <t>19fa75ec507d38ec</t>
        </is>
      </c>
      <c r="J56" s="37" t="inlineStr">
        <is>
          <t>SUCCESS</t>
        </is>
      </c>
      <c r="K56" s="37" t="n"/>
    </row>
    <row r="57" ht="22.5" customHeight="1" s="53">
      <c r="A57" s="34" t="n">
        <v>46231.50316600694</v>
      </c>
      <c r="B57" s="37" t="n">
        <v>1</v>
      </c>
      <c r="C57" s="37" t="inlineStr">
        <is>
          <t>divyantiwariuni4@gmail.com</t>
        </is>
      </c>
      <c r="D57" s="37" t="inlineStr">
        <is>
          <t>ALL_CAMPAIGNS_COMPLETED</t>
        </is>
      </c>
      <c r="E57" s="37" t="n"/>
      <c r="F57" s="37" t="inlineStr">
        <is>
          <t>Google Ads</t>
        </is>
      </c>
      <c r="G57" s="37" t="inlineStr">
        <is>
          <t>COMPLETED</t>
        </is>
      </c>
      <c r="H57" s="37" t="n"/>
      <c r="I57" s="37" t="inlineStr">
        <is>
          <t>19fa75ec507d38ec</t>
        </is>
      </c>
      <c r="J57" s="37" t="inlineStr">
        <is>
          <t>SUCCESS</t>
        </is>
      </c>
      <c r="K57" s="37" t="n"/>
    </row>
    <row r="58" ht="22.5" customHeight="1" s="53">
      <c r="A58" s="34" t="n">
        <v>46231.53658327546</v>
      </c>
      <c r="B58" s="37" t="n">
        <v>1</v>
      </c>
      <c r="C58" s="37" t="inlineStr">
        <is>
          <t>divyantiwariuni4@gmail.com</t>
        </is>
      </c>
      <c r="D58" s="37" t="inlineStr">
        <is>
          <t>EMAIL_1</t>
        </is>
      </c>
      <c r="E58" s="37" t="inlineStr">
        <is>
          <t>Service 1</t>
        </is>
      </c>
      <c r="F58" s="37" t="inlineStr">
        <is>
          <t>Website Development</t>
        </is>
      </c>
      <c r="G58" s="37" t="inlineStr">
        <is>
          <t>EMAIL_1_SENT</t>
        </is>
      </c>
      <c r="H58" s="37" t="n"/>
      <c r="I58" s="37" t="inlineStr">
        <is>
          <t>19fa79aa525149cf</t>
        </is>
      </c>
      <c r="J58" s="37" t="inlineStr">
        <is>
          <t>SUCCESS</t>
        </is>
      </c>
      <c r="K58" s="37" t="n"/>
    </row>
    <row r="59" ht="22.5" customHeight="1" s="53">
      <c r="A59" s="34" t="n">
        <v>46231.53813828704</v>
      </c>
      <c r="B59" s="37" t="n">
        <v>1</v>
      </c>
      <c r="C59" s="37" t="inlineStr">
        <is>
          <t>divyantiwariuni4@gmail.com</t>
        </is>
      </c>
      <c r="D59" s="37" t="inlineStr">
        <is>
          <t>FOLLOWUP_1</t>
        </is>
      </c>
      <c r="E59" s="37" t="n"/>
      <c r="F59" s="37" t="inlineStr">
        <is>
          <t>Website Development</t>
        </is>
      </c>
      <c r="G59" s="37" t="inlineStr">
        <is>
          <t>FOLLOWUP_1_SENT</t>
        </is>
      </c>
      <c r="H59" s="37" t="n"/>
      <c r="I59" s="37" t="inlineStr">
        <is>
          <t>19fa79aa525149cf</t>
        </is>
      </c>
      <c r="J59" s="37" t="inlineStr">
        <is>
          <t>SUCCESS</t>
        </is>
      </c>
      <c r="K59" s="37" t="n"/>
    </row>
    <row r="60" ht="22.5" customHeight="1" s="53">
      <c r="A60" s="34" t="n">
        <v>46231.53825716435</v>
      </c>
      <c r="B60" s="37" t="n">
        <v>1</v>
      </c>
      <c r="C60" s="37" t="inlineStr">
        <is>
          <t>divyantiwariuni4@gmail.com</t>
        </is>
      </c>
      <c r="D60" s="37" t="inlineStr">
        <is>
          <t>FOLLOWUP_2</t>
        </is>
      </c>
      <c r="E60" s="37" t="n"/>
      <c r="F60" s="37" t="inlineStr">
        <is>
          <t>Website Development</t>
        </is>
      </c>
      <c r="G60" s="37" t="inlineStr">
        <is>
          <t>FOLLOWUP_2_SENT</t>
        </is>
      </c>
      <c r="H60" s="37" t="n"/>
      <c r="I60" s="37" t="inlineStr">
        <is>
          <t>19fa79aa525149cf</t>
        </is>
      </c>
      <c r="J60" s="37" t="inlineStr">
        <is>
          <t>SUCCESS</t>
        </is>
      </c>
      <c r="K60" s="37" t="n"/>
    </row>
    <row r="61" ht="22.5" customHeight="1" s="53">
      <c r="A61" s="34" t="n">
        <v>46231.53851173611</v>
      </c>
      <c r="B61" s="37" t="n">
        <v>1</v>
      </c>
      <c r="C61" s="37" t="inlineStr">
        <is>
          <t>divyantiwariuni4@gmail.com</t>
        </is>
      </c>
      <c r="D61" s="37" t="inlineStr">
        <is>
          <t>FOLLOWUP_3</t>
        </is>
      </c>
      <c r="E61" s="37" t="n"/>
      <c r="F61" s="37" t="inlineStr">
        <is>
          <t>Website Development</t>
        </is>
      </c>
      <c r="G61" s="37" t="inlineStr">
        <is>
          <t>FOLLOWUP_3_SENT</t>
        </is>
      </c>
      <c r="H61" s="37" t="n"/>
      <c r="I61" s="37" t="inlineStr">
        <is>
          <t>19fa79aa525149cf</t>
        </is>
      </c>
      <c r="J61" s="37" t="inlineStr">
        <is>
          <t>SUCCESS</t>
        </is>
      </c>
      <c r="K61" s="37" t="n"/>
    </row>
    <row r="62" ht="22.5" customHeight="1" s="53">
      <c r="A62" s="34" t="n">
        <v>46231.53866601852</v>
      </c>
      <c r="B62" s="37" t="n">
        <v>1</v>
      </c>
      <c r="C62" s="37" t="inlineStr">
        <is>
          <t>divyantiwariuni4@gmail.com</t>
        </is>
      </c>
      <c r="D62" s="37" t="inlineStr">
        <is>
          <t>CAMPAIGN_NO_REPLY</t>
        </is>
      </c>
      <c r="E62" s="37" t="n"/>
      <c r="F62" s="37" t="inlineStr">
        <is>
          <t>Website Development</t>
        </is>
      </c>
      <c r="G62" s="37" t="inlineStr">
        <is>
          <t>NOT_INTERESTED_SERVICE_1</t>
        </is>
      </c>
      <c r="H62" s="37" t="n"/>
      <c r="I62" s="37" t="inlineStr">
        <is>
          <t>19fa79aa525149cf</t>
        </is>
      </c>
      <c r="J62" s="37" t="inlineStr">
        <is>
          <t>SUCCESS</t>
        </is>
      </c>
      <c r="K62" s="37" t="n"/>
    </row>
    <row r="63" ht="22.5" customHeight="1" s="53">
      <c r="A63" s="34" t="n">
        <v>46231.53867292824</v>
      </c>
      <c r="B63" s="37" t="n">
        <v>1</v>
      </c>
      <c r="C63" s="37" t="inlineStr">
        <is>
          <t>divyantiwariuni4@gmail.com</t>
        </is>
      </c>
      <c r="D63" s="37" t="inlineStr">
        <is>
          <t>CAMPAIGN_STARTED</t>
        </is>
      </c>
      <c r="E63" s="37" t="inlineStr">
        <is>
          <t>Service 2</t>
        </is>
      </c>
      <c r="F63" s="37" t="inlineStr">
        <is>
          <t>SEO</t>
        </is>
      </c>
      <c r="G63" s="37" t="inlineStr">
        <is>
          <t>NEW</t>
        </is>
      </c>
      <c r="H63" s="37" t="n"/>
      <c r="I63" s="37" t="n"/>
      <c r="J63" s="37" t="inlineStr">
        <is>
          <t>SUCCESS</t>
        </is>
      </c>
      <c r="K63" s="37" t="n"/>
    </row>
    <row r="64" ht="22.5" customHeight="1" s="53">
      <c r="A64" s="34" t="n">
        <v>46231.53904179398</v>
      </c>
      <c r="B64" s="37" t="n">
        <v>1</v>
      </c>
      <c r="C64" s="37" t="inlineStr">
        <is>
          <t>divyantiwariuni4@gmail.com</t>
        </is>
      </c>
      <c r="D64" s="37" t="inlineStr">
        <is>
          <t>EMAIL_1</t>
        </is>
      </c>
      <c r="E64" s="37" t="inlineStr">
        <is>
          <t>Service 2</t>
        </is>
      </c>
      <c r="F64" s="37" t="inlineStr">
        <is>
          <t>SEO</t>
        </is>
      </c>
      <c r="G64" s="37" t="inlineStr">
        <is>
          <t>EMAIL_1_SENT</t>
        </is>
      </c>
      <c r="H64" s="37" t="n"/>
      <c r="I64" s="37" t="inlineStr">
        <is>
          <t>19fa79de59218224</t>
        </is>
      </c>
      <c r="J64" s="37" t="inlineStr">
        <is>
          <t>SUCCESS</t>
        </is>
      </c>
      <c r="K64" s="37" t="n"/>
    </row>
    <row r="65" ht="22.5" customHeight="1" s="53">
      <c r="A65" s="34" t="n">
        <v>46231.54038912037</v>
      </c>
      <c r="B65" s="37" t="n">
        <v>1</v>
      </c>
      <c r="C65" s="37" t="inlineStr">
        <is>
          <t>divyantiwariuni4@gmail.com</t>
        </is>
      </c>
      <c r="D65" s="37" t="inlineStr">
        <is>
          <t>FOLLOWUP_1</t>
        </is>
      </c>
      <c r="E65" s="37" t="n"/>
      <c r="F65" s="37" t="inlineStr">
        <is>
          <t>SEO</t>
        </is>
      </c>
      <c r="G65" s="37" t="inlineStr">
        <is>
          <t>FOLLOWUP_1_SENT</t>
        </is>
      </c>
      <c r="H65" s="37" t="n"/>
      <c r="I65" s="37" t="inlineStr">
        <is>
          <t>19fa79de59218224</t>
        </is>
      </c>
      <c r="J65" s="37" t="inlineStr">
        <is>
          <t>SUCCESS</t>
        </is>
      </c>
      <c r="K65" s="37" t="n"/>
    </row>
    <row r="66" ht="22.5" customHeight="1" s="53">
      <c r="A66" s="34" t="n">
        <v>46231.54077209491</v>
      </c>
      <c r="B66" s="37" t="n">
        <v>1</v>
      </c>
      <c r="C66" s="37" t="inlineStr">
        <is>
          <t>divyantiwariuni4@gmail.com</t>
        </is>
      </c>
      <c r="D66" s="37" t="inlineStr">
        <is>
          <t>FOLLOWUP_2</t>
        </is>
      </c>
      <c r="E66" s="37" t="n"/>
      <c r="F66" s="37" t="inlineStr">
        <is>
          <t>SEO</t>
        </is>
      </c>
      <c r="G66" s="37" t="inlineStr">
        <is>
          <t>FOLLOWUP_2_SENT</t>
        </is>
      </c>
      <c r="H66" s="37" t="n"/>
      <c r="I66" s="37" t="inlineStr">
        <is>
          <t>19fa79de59218224</t>
        </is>
      </c>
      <c r="J66" s="37" t="inlineStr">
        <is>
          <t>SUCCESS</t>
        </is>
      </c>
      <c r="K66" s="37" t="n"/>
    </row>
    <row r="67" ht="22.5" customHeight="1" s="53">
      <c r="A67" s="34" t="n">
        <v>46231.54083525463</v>
      </c>
      <c r="B67" s="37" t="n">
        <v>1</v>
      </c>
      <c r="C67" s="37" t="inlineStr">
        <is>
          <t>divyantiwariuni4@gmail.com</t>
        </is>
      </c>
      <c r="D67" s="37" t="inlineStr">
        <is>
          <t>FOLLOWUP_3</t>
        </is>
      </c>
      <c r="E67" s="37" t="n"/>
      <c r="F67" s="37" t="inlineStr">
        <is>
          <t>SEO</t>
        </is>
      </c>
      <c r="G67" s="37" t="inlineStr">
        <is>
          <t>FOLLOWUP_3_SENT</t>
        </is>
      </c>
      <c r="H67" s="37" t="n"/>
      <c r="I67" s="37" t="inlineStr">
        <is>
          <t>19fa79de59218224</t>
        </is>
      </c>
      <c r="J67" s="37" t="inlineStr">
        <is>
          <t>SUCCESS</t>
        </is>
      </c>
      <c r="K67" s="37" t="n"/>
    </row>
    <row r="68" ht="22.5" customHeight="1" s="53">
      <c r="A68" s="34" t="n">
        <v>46231.54105517361</v>
      </c>
      <c r="B68" s="37" t="n">
        <v>1</v>
      </c>
      <c r="C68" s="37" t="inlineStr">
        <is>
          <t>divyantiwariuni4@gmail.com</t>
        </is>
      </c>
      <c r="D68" s="37" t="inlineStr">
        <is>
          <t>CAMPAIGN_NO_REPLY</t>
        </is>
      </c>
      <c r="E68" s="37" t="n"/>
      <c r="F68" s="37" t="inlineStr">
        <is>
          <t>SEO</t>
        </is>
      </c>
      <c r="G68" s="37" t="inlineStr">
        <is>
          <t>NOT_INTERESTED_SERVICE_1</t>
        </is>
      </c>
      <c r="H68" s="37" t="n"/>
      <c r="I68" s="37" t="inlineStr">
        <is>
          <t>19fa79de59218224</t>
        </is>
      </c>
      <c r="J68" s="37" t="inlineStr">
        <is>
          <t>SUCCESS</t>
        </is>
      </c>
      <c r="K68" s="37" t="n"/>
    </row>
    <row r="69" ht="22.5" customHeight="1" s="53">
      <c r="A69" s="34" t="n">
        <v>46231.54105995371</v>
      </c>
      <c r="B69" s="37" t="n">
        <v>1</v>
      </c>
      <c r="C69" s="37" t="inlineStr">
        <is>
          <t>divyantiwariuni4@gmail.com</t>
        </is>
      </c>
      <c r="D69" s="37" t="inlineStr">
        <is>
          <t>CAMPAIGN_STARTED</t>
        </is>
      </c>
      <c r="E69" s="37" t="inlineStr">
        <is>
          <t>Service 2</t>
        </is>
      </c>
      <c r="F69" s="37" t="inlineStr">
        <is>
          <t>Google Ads</t>
        </is>
      </c>
      <c r="G69" s="37" t="inlineStr">
        <is>
          <t>NEW</t>
        </is>
      </c>
      <c r="H69" s="37" t="n"/>
      <c r="I69" s="37" t="n"/>
      <c r="J69" s="37" t="inlineStr">
        <is>
          <t>SUCCESS</t>
        </is>
      </c>
      <c r="K69" s="37" t="n"/>
    </row>
    <row r="70" ht="22.5" customHeight="1" s="53">
      <c r="A70" s="34" t="n">
        <v>46231.54119416667</v>
      </c>
      <c r="B70" s="37" t="n">
        <v>1</v>
      </c>
      <c r="C70" s="37" t="inlineStr">
        <is>
          <t>divyantiwariuni4@gmail.com</t>
        </is>
      </c>
      <c r="D70" s="37" t="inlineStr">
        <is>
          <t>EMAIL_1</t>
        </is>
      </c>
      <c r="E70" s="37" t="inlineStr">
        <is>
          <t>Service 2</t>
        </is>
      </c>
      <c r="F70" s="37" t="inlineStr">
        <is>
          <t>Google Ads</t>
        </is>
      </c>
      <c r="G70" s="37" t="inlineStr">
        <is>
          <t>EMAIL_1_SENT</t>
        </is>
      </c>
      <c r="H70" s="37" t="n"/>
      <c r="I70" s="37" t="inlineStr">
        <is>
          <t>19fa7a0bdb152272</t>
        </is>
      </c>
      <c r="J70" s="37" t="inlineStr">
        <is>
          <t>SUCCESS</t>
        </is>
      </c>
      <c r="K70" s="37" t="n"/>
    </row>
    <row r="71" ht="22.5" customHeight="1" s="53">
      <c r="A71" s="34" t="n">
        <v>46231.54345557871</v>
      </c>
      <c r="B71" s="37" t="n">
        <v>1</v>
      </c>
      <c r="C71" s="37" t="inlineStr">
        <is>
          <t>divyantiwariuni4@gmail.com</t>
        </is>
      </c>
      <c r="D71" s="37" t="inlineStr">
        <is>
          <t>EMAIL_1</t>
        </is>
      </c>
      <c r="E71" s="37" t="inlineStr">
        <is>
          <t>Service 2</t>
        </is>
      </c>
      <c r="F71" s="37" t="inlineStr">
        <is>
          <t>SEO</t>
        </is>
      </c>
      <c r="G71" s="37" t="inlineStr">
        <is>
          <t>EMAIL_1_SENT</t>
        </is>
      </c>
      <c r="H71" s="37" t="n"/>
      <c r="I71" s="37" t="inlineStr">
        <is>
          <t>19fa7a3b61e8a3ce</t>
        </is>
      </c>
      <c r="J71" s="37" t="inlineStr">
        <is>
          <t>SUCCESS</t>
        </is>
      </c>
      <c r="K71" s="37" t="n"/>
    </row>
    <row r="72" ht="22.5" customHeight="1" s="53">
      <c r="A72" s="34" t="n">
        <v>46231.54832533565</v>
      </c>
      <c r="B72" s="37" t="n">
        <v>1</v>
      </c>
      <c r="C72" s="37" t="inlineStr">
        <is>
          <t>divyantiwariuni4@gmail.com</t>
        </is>
      </c>
      <c r="D72" s="37" t="inlineStr">
        <is>
          <t>EMAIL_1</t>
        </is>
      </c>
      <c r="E72" s="37" t="inlineStr">
        <is>
          <t>Service 3</t>
        </is>
      </c>
      <c r="F72" s="37" t="inlineStr">
        <is>
          <t>SEO</t>
        </is>
      </c>
      <c r="G72" s="37" t="inlineStr">
        <is>
          <t>EMAIL_1_SENT</t>
        </is>
      </c>
      <c r="H72" s="37" t="n"/>
      <c r="I72" s="37" t="inlineStr">
        <is>
          <t>19fa7aa22434ab68</t>
        </is>
      </c>
      <c r="J72" s="37" t="inlineStr">
        <is>
          <t>SUCCESS</t>
        </is>
      </c>
      <c r="K72" s="37" t="n"/>
    </row>
    <row r="73" ht="22.5" customHeight="1" s="53">
      <c r="A73" s="34" t="n">
        <v>46231.54923859954</v>
      </c>
      <c r="B73" s="37" t="n">
        <v>1</v>
      </c>
      <c r="C73" s="37" t="inlineStr">
        <is>
          <t>divyantiwariuni4@gmail.com</t>
        </is>
      </c>
      <c r="D73" s="37" t="inlineStr">
        <is>
          <t>EMAIL_1</t>
        </is>
      </c>
      <c r="E73" s="37" t="inlineStr">
        <is>
          <t>Service 2</t>
        </is>
      </c>
      <c r="F73" s="37" t="inlineStr">
        <is>
          <t>Google Ads</t>
        </is>
      </c>
      <c r="G73" s="37" t="inlineStr">
        <is>
          <t>EMAIL_1_SENT</t>
        </is>
      </c>
      <c r="H73" s="37" t="n"/>
      <c r="I73" s="37" t="inlineStr">
        <is>
          <t>19fa7ab56b04efad</t>
        </is>
      </c>
      <c r="J73" s="37" t="inlineStr">
        <is>
          <t>SUCCESS</t>
        </is>
      </c>
      <c r="K73" s="37" t="n"/>
    </row>
    <row r="74" ht="22.5" customHeight="1" s="53">
      <c r="A74" s="34" t="n">
        <v>46231.55350049768</v>
      </c>
      <c r="B74" s="37" t="n">
        <v>1</v>
      </c>
      <c r="C74" s="37" t="inlineStr">
        <is>
          <t>divyantiwariuni4@gmail.com</t>
        </is>
      </c>
      <c r="D74" s="37" t="inlineStr">
        <is>
          <t>EMAIL_1</t>
        </is>
      </c>
      <c r="E74" s="37" t="inlineStr">
        <is>
          <t>Service 1</t>
        </is>
      </c>
      <c r="F74" s="37" t="inlineStr">
        <is>
          <t>Website Development</t>
        </is>
      </c>
      <c r="G74" s="37" t="inlineStr">
        <is>
          <t>EMAIL_1_SENT</t>
        </is>
      </c>
      <c r="H74" s="37" t="n"/>
      <c r="I74" s="37" t="inlineStr">
        <is>
          <t>19fa7b0f443dea9e</t>
        </is>
      </c>
      <c r="J74" s="37" t="inlineStr">
        <is>
          <t>SUCCESS</t>
        </is>
      </c>
      <c r="K74" s="37" t="n"/>
    </row>
    <row r="75" ht="22.5" customHeight="1" s="53">
      <c r="A75" s="34" t="n">
        <v>46231.55364631944</v>
      </c>
      <c r="B75" s="37" t="n">
        <v>1</v>
      </c>
      <c r="C75" s="37" t="inlineStr">
        <is>
          <t>divyantiwariuni4@gmail.com</t>
        </is>
      </c>
      <c r="D75" s="37" t="inlineStr">
        <is>
          <t>FOLLOWUP_1</t>
        </is>
      </c>
      <c r="E75" s="37" t="n"/>
      <c r="F75" s="37" t="inlineStr">
        <is>
          <t>Website Development</t>
        </is>
      </c>
      <c r="G75" s="37" t="inlineStr">
        <is>
          <t>FOLLOWUP_1_SENT</t>
        </is>
      </c>
      <c r="H75" s="37" t="n"/>
      <c r="I75" s="37" t="inlineStr">
        <is>
          <t>19fa7b0f443dea9e</t>
        </is>
      </c>
      <c r="J75" s="37" t="inlineStr">
        <is>
          <t>SUCCESS</t>
        </is>
      </c>
      <c r="K75" s="37" t="n"/>
    </row>
    <row r="76" ht="22.5" customHeight="1" s="53">
      <c r="A76" s="34" t="n">
        <v>46231.55371980324</v>
      </c>
      <c r="B76" s="37" t="n">
        <v>1</v>
      </c>
      <c r="C76" s="37" t="inlineStr">
        <is>
          <t>divyantiwariuni4@gmail.com</t>
        </is>
      </c>
      <c r="D76" s="37" t="inlineStr">
        <is>
          <t>FOLLOWUP_2</t>
        </is>
      </c>
      <c r="E76" s="37" t="n"/>
      <c r="F76" s="37" t="inlineStr">
        <is>
          <t>Website Development</t>
        </is>
      </c>
      <c r="G76" s="37" t="inlineStr">
        <is>
          <t>FOLLOWUP_2_SENT</t>
        </is>
      </c>
      <c r="H76" s="37" t="n"/>
      <c r="I76" s="37" t="inlineStr">
        <is>
          <t>19fa7b0f443dea9e</t>
        </is>
      </c>
      <c r="J76" s="37" t="inlineStr">
        <is>
          <t>SUCCESS</t>
        </is>
      </c>
      <c r="K76" s="37" t="n"/>
    </row>
    <row r="77" ht="22.5" customHeight="1" s="53">
      <c r="A77" s="34" t="n">
        <v>46231.55383399306</v>
      </c>
      <c r="B77" s="37" t="n">
        <v>1</v>
      </c>
      <c r="C77" s="37" t="inlineStr">
        <is>
          <t>divyantiwariuni4@gmail.com</t>
        </is>
      </c>
      <c r="D77" s="37" t="inlineStr">
        <is>
          <t>FOLLOWUP_3</t>
        </is>
      </c>
      <c r="E77" s="37" t="n"/>
      <c r="F77" s="37" t="inlineStr">
        <is>
          <t>Website Development</t>
        </is>
      </c>
      <c r="G77" s="37" t="inlineStr">
        <is>
          <t>FOLLOWUP_3_SENT</t>
        </is>
      </c>
      <c r="H77" s="37" t="n"/>
      <c r="I77" s="37" t="inlineStr">
        <is>
          <t>19fa7b0f443dea9e</t>
        </is>
      </c>
      <c r="J77" s="37" t="inlineStr">
        <is>
          <t>SUCCESS</t>
        </is>
      </c>
      <c r="K77" s="37" t="n"/>
    </row>
    <row r="78" ht="22.5" customHeight="1" s="53">
      <c r="A78" s="34" t="n">
        <v>46231.55394706019</v>
      </c>
      <c r="B78" s="37" t="n">
        <v>1</v>
      </c>
      <c r="C78" s="37" t="inlineStr">
        <is>
          <t>divyantiwariuni4@gmail.com</t>
        </is>
      </c>
      <c r="D78" s="37" t="inlineStr">
        <is>
          <t>CAMPAIGN_NO_REPLY</t>
        </is>
      </c>
      <c r="E78" s="37" t="n"/>
      <c r="F78" s="37" t="inlineStr">
        <is>
          <t>Website Development</t>
        </is>
      </c>
      <c r="G78" s="37" t="inlineStr">
        <is>
          <t>NOT_INTERESTED_SERVICE_1</t>
        </is>
      </c>
      <c r="H78" s="37" t="n"/>
      <c r="I78" s="37" t="inlineStr">
        <is>
          <t>19fa7b0f443dea9e</t>
        </is>
      </c>
      <c r="J78" s="37" t="inlineStr">
        <is>
          <t>SUCCESS</t>
        </is>
      </c>
      <c r="K78" s="37" t="n"/>
    </row>
    <row r="79" ht="22.5" customHeight="1" s="53">
      <c r="A79" s="34" t="n">
        <v>46231.55395203704</v>
      </c>
      <c r="B79" s="37" t="n">
        <v>1</v>
      </c>
      <c r="C79" s="37" t="inlineStr">
        <is>
          <t>divyantiwariuni4@gmail.com</t>
        </is>
      </c>
      <c r="D79" s="37" t="inlineStr">
        <is>
          <t>CAMPAIGN_STARTED</t>
        </is>
      </c>
      <c r="E79" s="37" t="inlineStr">
        <is>
          <t>Service 2</t>
        </is>
      </c>
      <c r="F79" s="37" t="inlineStr">
        <is>
          <t>SEO</t>
        </is>
      </c>
      <c r="G79" s="37" t="inlineStr">
        <is>
          <t>NEW</t>
        </is>
      </c>
      <c r="H79" s="37" t="n"/>
      <c r="I79" s="37" t="n"/>
      <c r="J79" s="37" t="inlineStr">
        <is>
          <t>SUCCESS</t>
        </is>
      </c>
      <c r="K79" s="37" t="n"/>
    </row>
    <row r="80" ht="22.5" customHeight="1" s="53">
      <c r="A80" s="34" t="n">
        <v>46231.55447763889</v>
      </c>
      <c r="B80" s="37" t="n">
        <v>1</v>
      </c>
      <c r="C80" s="37" t="inlineStr">
        <is>
          <t>divyantiwariuni4@gmail.com</t>
        </is>
      </c>
      <c r="D80" s="37" t="inlineStr">
        <is>
          <t>EMAIL_1</t>
        </is>
      </c>
      <c r="E80" s="37" t="inlineStr">
        <is>
          <t>Service 2</t>
        </is>
      </c>
      <c r="F80" s="37" t="inlineStr">
        <is>
          <t>SEO</t>
        </is>
      </c>
      <c r="G80" s="37" t="inlineStr">
        <is>
          <t>EMAIL_1_SENT</t>
        </is>
      </c>
      <c r="H80" s="37" t="n"/>
      <c r="I80" s="37" t="inlineStr">
        <is>
          <t>19fa7b23d7ff249c</t>
        </is>
      </c>
      <c r="J80" s="37" t="inlineStr">
        <is>
          <t>SUCCESS</t>
        </is>
      </c>
      <c r="K80" s="37" t="n"/>
    </row>
    <row r="81" ht="22.5" customHeight="1" s="53">
      <c r="A81" s="34" t="n">
        <v>46231.69408085648</v>
      </c>
      <c r="B81" s="37" t="n">
        <v>1</v>
      </c>
      <c r="C81" s="37" t="inlineStr">
        <is>
          <t>divyantiwariuni4@gmail.com</t>
        </is>
      </c>
      <c r="D81" s="37" t="inlineStr">
        <is>
          <t>EMAIL_1</t>
        </is>
      </c>
      <c r="E81" s="37" t="inlineStr">
        <is>
          <t>Service 1</t>
        </is>
      </c>
      <c r="F81" s="37" t="inlineStr">
        <is>
          <t>Website Development</t>
        </is>
      </c>
      <c r="G81" s="37" t="inlineStr">
        <is>
          <t>EMAIL_1_SENT</t>
        </is>
      </c>
      <c r="H81" s="37" t="n"/>
      <c r="I81" s="37" t="inlineStr">
        <is>
          <t>19fa86a4a9be3f10</t>
        </is>
      </c>
      <c r="J81" s="37" t="inlineStr">
        <is>
          <t>SUCCESS</t>
        </is>
      </c>
      <c r="K81" s="37" t="n"/>
    </row>
    <row r="82" ht="22.5" customHeight="1" s="53">
      <c r="A82" s="34" t="n">
        <v>46231.69607584491</v>
      </c>
      <c r="B82" s="37" t="n">
        <v>1</v>
      </c>
      <c r="C82" s="37" t="inlineStr">
        <is>
          <t>divyantiwariuni4@gmail.com</t>
        </is>
      </c>
      <c r="D82" s="37" t="inlineStr">
        <is>
          <t>FOLLOWUP_1</t>
        </is>
      </c>
      <c r="E82" s="37" t="inlineStr">
        <is>
          <t>Service 1</t>
        </is>
      </c>
      <c r="F82" s="37" t="inlineStr">
        <is>
          <t>Website Development</t>
        </is>
      </c>
      <c r="G82" s="37" t="inlineStr">
        <is>
          <t>FOLLOWUP_1_SENT</t>
        </is>
      </c>
      <c r="H82" s="37" t="n"/>
      <c r="I82" s="37" t="inlineStr">
        <is>
          <t>19fa86a4a9be3f10</t>
        </is>
      </c>
      <c r="J82" s="37" t="inlineStr">
        <is>
          <t>SUCCESS</t>
        </is>
      </c>
      <c r="K82" s="37" t="n"/>
    </row>
    <row r="83" ht="22.5" customHeight="1" s="53">
      <c r="A83" s="34" t="n">
        <v>46231.76040993055</v>
      </c>
      <c r="B83" s="37" t="n">
        <v>1</v>
      </c>
      <c r="C83" s="37" t="inlineStr">
        <is>
          <t>divyantiwariuni4@gmail.com</t>
        </is>
      </c>
      <c r="D83" s="37" t="inlineStr">
        <is>
          <t>EMAIL_1</t>
        </is>
      </c>
      <c r="E83" s="37" t="inlineStr">
        <is>
          <t>Service 2</t>
        </is>
      </c>
      <c r="F83" s="37" t="inlineStr">
        <is>
          <t>SEO</t>
        </is>
      </c>
      <c r="G83" s="37" t="inlineStr">
        <is>
          <t>EMAIL_1_SENT</t>
        </is>
      </c>
      <c r="H83" s="37" t="n"/>
      <c r="I83" s="37" t="inlineStr">
        <is>
          <t>19fa8c1bdbd0e560</t>
        </is>
      </c>
      <c r="J83" s="37" t="inlineStr">
        <is>
          <t>SUCCESS</t>
        </is>
      </c>
      <c r="K83" s="37" t="n"/>
    </row>
    <row r="84" ht="22.5" customHeight="1" s="53">
      <c r="A84" s="34" t="n">
        <v>46231.76045594907</v>
      </c>
      <c r="B84" s="37" t="n">
        <v>2</v>
      </c>
      <c r="C84" s="37" t="inlineStr">
        <is>
          <t>aryandivyan@gmail.com</t>
        </is>
      </c>
      <c r="D84" s="37" t="inlineStr">
        <is>
          <t>EMAIL_1</t>
        </is>
      </c>
      <c r="E84" s="37" t="inlineStr">
        <is>
          <t>Service 1</t>
        </is>
      </c>
      <c r="F84" s="37" t="inlineStr">
        <is>
          <t>Website Development</t>
        </is>
      </c>
      <c r="G84" s="37" t="inlineStr">
        <is>
          <t>EMAIL_1_SENT</t>
        </is>
      </c>
      <c r="H84" s="37" t="n"/>
      <c r="I84" s="37" t="inlineStr">
        <is>
          <t>19fa8c1cd8988c2c</t>
        </is>
      </c>
      <c r="J84" s="37" t="inlineStr">
        <is>
          <t>SUCCESS</t>
        </is>
      </c>
      <c r="K84" s="37" t="n"/>
    </row>
    <row r="85" ht="22.5" customHeight="1" s="53">
      <c r="A85" s="34" t="n">
        <v>46231.76123388889</v>
      </c>
      <c r="B85" s="37" t="n">
        <v>1</v>
      </c>
      <c r="C85" s="37" t="inlineStr">
        <is>
          <t>divyantiwariuni4@gmail.com</t>
        </is>
      </c>
      <c r="D85" s="37" t="inlineStr">
        <is>
          <t>FOLLOWUP_1</t>
        </is>
      </c>
      <c r="E85" s="37" t="inlineStr">
        <is>
          <t>Service 2</t>
        </is>
      </c>
      <c r="F85" s="37" t="inlineStr">
        <is>
          <t>SEO</t>
        </is>
      </c>
      <c r="G85" s="37" t="inlineStr">
        <is>
          <t>FOLLOWUP_1_SENT</t>
        </is>
      </c>
      <c r="H85" s="37" t="n"/>
      <c r="I85" s="37" t="inlineStr">
        <is>
          <t>19fa8c1bdbd0e560</t>
        </is>
      </c>
      <c r="J85" s="37" t="inlineStr">
        <is>
          <t>SUCCESS</t>
        </is>
      </c>
      <c r="K85" s="37" t="n"/>
    </row>
    <row r="86" ht="22.5" customHeight="1" s="53">
      <c r="A86" s="34" t="n">
        <v>46231.76125690973</v>
      </c>
      <c r="B86" s="37" t="n">
        <v>2</v>
      </c>
      <c r="C86" s="37" t="inlineStr">
        <is>
          <t>aryandivyan@gmail.com</t>
        </is>
      </c>
      <c r="D86" s="37" t="inlineStr">
        <is>
          <t>FOLLOWUP_1</t>
        </is>
      </c>
      <c r="E86" s="37" t="inlineStr">
        <is>
          <t>Service 1</t>
        </is>
      </c>
      <c r="F86" s="37" t="inlineStr">
        <is>
          <t>Website Development</t>
        </is>
      </c>
      <c r="G86" s="37" t="inlineStr">
        <is>
          <t>FOLLOWUP_1_SENT</t>
        </is>
      </c>
      <c r="H86" s="37" t="n"/>
      <c r="I86" s="37" t="inlineStr">
        <is>
          <t>19fa8c1cd8988c2c</t>
        </is>
      </c>
      <c r="J86" s="37" t="inlineStr">
        <is>
          <t>SUCCESS</t>
        </is>
      </c>
      <c r="K86" s="37" t="n"/>
    </row>
    <row r="87" ht="22.5" customHeight="1" s="53">
      <c r="A87" s="34" t="n">
        <v>46231.7671571875</v>
      </c>
      <c r="B87" s="37" t="n">
        <v>1</v>
      </c>
      <c r="C87" s="37" t="inlineStr">
        <is>
          <t>divyantiwariuni4@gmail.com</t>
        </is>
      </c>
      <c r="D87" s="37" t="inlineStr">
        <is>
          <t>FOLLOWUP_2</t>
        </is>
      </c>
      <c r="E87" s="37" t="inlineStr">
        <is>
          <t>Service 2</t>
        </is>
      </c>
      <c r="F87" s="37" t="inlineStr">
        <is>
          <t>SEO</t>
        </is>
      </c>
      <c r="G87" s="37" t="inlineStr">
        <is>
          <t>FOLLOWUP_2_SENT</t>
        </is>
      </c>
      <c r="H87" s="37" t="n"/>
      <c r="I87" s="37" t="inlineStr">
        <is>
          <t>19fa8c1bdbd0e560</t>
        </is>
      </c>
      <c r="J87" s="37" t="inlineStr">
        <is>
          <t>SUCCESS</t>
        </is>
      </c>
      <c r="K87" s="37" t="n"/>
    </row>
    <row r="88" ht="22.5" customHeight="1" s="53">
      <c r="A88" s="34" t="n">
        <v>46231.76718125</v>
      </c>
      <c r="B88" s="37" t="n">
        <v>2</v>
      </c>
      <c r="C88" s="37" t="inlineStr">
        <is>
          <t>aryandivyan@gmail.com</t>
        </is>
      </c>
      <c r="D88" s="37" t="inlineStr">
        <is>
          <t>FOLLOWUP_1</t>
        </is>
      </c>
      <c r="E88" s="37" t="inlineStr">
        <is>
          <t>Service 1</t>
        </is>
      </c>
      <c r="F88" s="37" t="inlineStr">
        <is>
          <t>Website Development</t>
        </is>
      </c>
      <c r="G88" s="37" t="inlineStr">
        <is>
          <t>FOLLOWUP_1_SENT</t>
        </is>
      </c>
      <c r="H88" s="37" t="n"/>
      <c r="I88" s="37" t="inlineStr">
        <is>
          <t>19fa8c1cd8988c2c</t>
        </is>
      </c>
      <c r="J88" s="37" t="inlineStr">
        <is>
          <t>SUCCESS</t>
        </is>
      </c>
      <c r="K88" s="37" t="n"/>
    </row>
    <row r="89" ht="22.5" customHeight="1" s="53">
      <c r="A89" s="34" t="n">
        <v>46231.76897300926</v>
      </c>
      <c r="B89" s="37" t="n">
        <v>1</v>
      </c>
      <c r="C89" s="37" t="inlineStr">
        <is>
          <t>divyantiwariuni4@gmail.com</t>
        </is>
      </c>
      <c r="D89" s="37" t="inlineStr">
        <is>
          <t>EMAIL_1</t>
        </is>
      </c>
      <c r="E89" s="37" t="inlineStr">
        <is>
          <t>Service 1</t>
        </is>
      </c>
      <c r="F89" s="37" t="inlineStr">
        <is>
          <t>Website Development</t>
        </is>
      </c>
      <c r="G89" s="37" t="inlineStr">
        <is>
          <t>EMAIL_1_SENT</t>
        </is>
      </c>
      <c r="H89" s="37" t="n"/>
      <c r="I89" s="37" t="inlineStr">
        <is>
          <t>19fa8cd07e9c8e82</t>
        </is>
      </c>
      <c r="J89" s="37" t="inlineStr">
        <is>
          <t>SUCCESS</t>
        </is>
      </c>
      <c r="K89" s="37" t="n"/>
    </row>
    <row r="90" ht="22.5" customHeight="1" s="53">
      <c r="A90" s="34" t="n">
        <v>46231.76902385417</v>
      </c>
      <c r="B90" s="37" t="n">
        <v>2</v>
      </c>
      <c r="C90" s="37" t="inlineStr">
        <is>
          <t>aryandivyan@gmail.com</t>
        </is>
      </c>
      <c r="D90" s="37" t="inlineStr">
        <is>
          <t>EMAIL_1</t>
        </is>
      </c>
      <c r="E90" s="37" t="inlineStr">
        <is>
          <t>Service 1</t>
        </is>
      </c>
      <c r="F90" s="37" t="inlineStr">
        <is>
          <t>Website Development</t>
        </is>
      </c>
      <c r="G90" s="37" t="inlineStr">
        <is>
          <t>EMAIL_1_SENT</t>
        </is>
      </c>
      <c r="H90" s="37" t="n"/>
      <c r="I90" s="37" t="inlineStr">
        <is>
          <t>19fa8cd182828a61</t>
        </is>
      </c>
      <c r="J90" s="37" t="inlineStr">
        <is>
          <t>SUCCESS</t>
        </is>
      </c>
      <c r="K90" s="37" t="n"/>
    </row>
    <row r="91" ht="22.5" customHeight="1" s="53">
      <c r="A91" s="34" t="n">
        <v>46231.76976378472</v>
      </c>
      <c r="B91" s="37" t="n">
        <v>1</v>
      </c>
      <c r="C91" s="37" t="inlineStr">
        <is>
          <t>divyantiwariuni4@gmail.com</t>
        </is>
      </c>
      <c r="D91" s="37" t="inlineStr">
        <is>
          <t>FOLLOWUP_1</t>
        </is>
      </c>
      <c r="E91" s="37" t="inlineStr">
        <is>
          <t>Service 1</t>
        </is>
      </c>
      <c r="F91" s="37" t="inlineStr">
        <is>
          <t>Website Development</t>
        </is>
      </c>
      <c r="G91" s="37" t="inlineStr">
        <is>
          <t>FOLLOWUP_1_SENT</t>
        </is>
      </c>
      <c r="H91" s="37" t="n"/>
      <c r="I91" s="37" t="inlineStr">
        <is>
          <t>19fa8cd07e9c8e82</t>
        </is>
      </c>
      <c r="J91" s="37" t="inlineStr">
        <is>
          <t>SUCCESS</t>
        </is>
      </c>
      <c r="K91" s="37" t="n"/>
    </row>
    <row r="92" ht="22.5" customHeight="1" s="53">
      <c r="A92" s="34" t="n">
        <v>46231.76979856481</v>
      </c>
      <c r="B92" s="37" t="n">
        <v>2</v>
      </c>
      <c r="C92" s="37" t="inlineStr">
        <is>
          <t>aryandivyan@gmail.com</t>
        </is>
      </c>
      <c r="D92" s="37" t="inlineStr">
        <is>
          <t>FOLLOWUP_1</t>
        </is>
      </c>
      <c r="E92" s="37" t="inlineStr">
        <is>
          <t>Service 1</t>
        </is>
      </c>
      <c r="F92" s="37" t="inlineStr">
        <is>
          <t>Website Development</t>
        </is>
      </c>
      <c r="G92" s="37" t="inlineStr">
        <is>
          <t>FOLLOWUP_1_SENT</t>
        </is>
      </c>
      <c r="H92" s="37" t="n"/>
      <c r="I92" s="37" t="inlineStr">
        <is>
          <t>19fa8cd182828a61</t>
        </is>
      </c>
      <c r="J92" s="37" t="inlineStr">
        <is>
          <t>SUCCESS</t>
        </is>
      </c>
      <c r="K92" s="37" t="n"/>
    </row>
    <row r="93" ht="22.5" customHeight="1" s="53">
      <c r="A93" s="34" t="n">
        <v>46231.81068293982</v>
      </c>
      <c r="B93" s="37" t="n">
        <v>998</v>
      </c>
      <c r="C93" s="37" t="inlineStr">
        <is>
          <t>nonexistent@your-test-domain.example</t>
        </is>
      </c>
      <c r="D93" s="37" t="inlineStr">
        <is>
          <t>EMAIL_BOUNCED</t>
        </is>
      </c>
      <c r="E93" s="37" t="inlineStr">
        <is>
          <t>Service 1</t>
        </is>
      </c>
      <c r="F93" s="37" t="inlineStr">
        <is>
          <t>Website Development</t>
        </is>
      </c>
      <c r="G93" s="37" t="inlineStr">
        <is>
          <t>INVALID</t>
        </is>
      </c>
      <c r="H93" s="37" t="n"/>
      <c r="I93" s="37" t="inlineStr">
        <is>
          <t>19fa737196c16e79</t>
        </is>
      </c>
      <c r="J93" s="37" t="inlineStr">
        <is>
          <t>FAILED</t>
        </is>
      </c>
      <c r="K93" s="37" t="inlineStr">
        <is>
          <t>Delivery failure / bounced email</t>
        </is>
      </c>
    </row>
    <row r="94" ht="22.5" customHeight="1" s="53">
      <c r="A94" s="34" t="n">
        <v>46231.81082533565</v>
      </c>
      <c r="B94" s="37" t="n">
        <v>3</v>
      </c>
      <c r="C94" s="37" t="inlineStr">
        <is>
          <t>dynamisers@gmail.com</t>
        </is>
      </c>
      <c r="D94" s="37" t="inlineStr">
        <is>
          <t>EMAIL_1</t>
        </is>
      </c>
      <c r="E94" s="37" t="inlineStr">
        <is>
          <t>Service 1</t>
        </is>
      </c>
      <c r="F94" s="37" t="inlineStr">
        <is>
          <t>Website Development</t>
        </is>
      </c>
      <c r="G94" s="37" t="inlineStr">
        <is>
          <t>EMAIL_1_SENT</t>
        </is>
      </c>
      <c r="H94" s="37" t="n"/>
      <c r="I94" s="37" t="inlineStr">
        <is>
          <t>19fa9043424201fb</t>
        </is>
      </c>
      <c r="J94" s="37" t="inlineStr">
        <is>
          <t>SUCCESS</t>
        </is>
      </c>
      <c r="K94" s="37" t="n"/>
    </row>
    <row r="95" ht="22.5" customHeight="1" s="53">
      <c r="A95" s="34" t="n">
        <v>46231.8114839699</v>
      </c>
      <c r="B95" s="37" t="n">
        <v>3</v>
      </c>
      <c r="C95" s="37" t="inlineStr">
        <is>
          <t>dynamisers@gmail.com</t>
        </is>
      </c>
      <c r="D95" s="37" t="inlineStr">
        <is>
          <t>FOLLOWUP_THREAD_MISSING</t>
        </is>
      </c>
      <c r="E95" s="37" t="inlineStr">
        <is>
          <t>Service 1</t>
        </is>
      </c>
      <c r="F95" s="37" t="inlineStr">
        <is>
          <t>Website Development</t>
        </is>
      </c>
      <c r="G95" s="37" t="inlineStr">
        <is>
          <t>EMAIL_1_SENT</t>
        </is>
      </c>
      <c r="H95" s="37" t="n"/>
      <c r="I95" s="37" t="n"/>
      <c r="J95" s="37" t="inlineStr">
        <is>
          <t>FAILED</t>
        </is>
      </c>
      <c r="K95" s="37" t="inlineStr">
        <is>
          <t>Gmail Thread ID missing</t>
        </is>
      </c>
    </row>
    <row r="96" ht="22.5" customHeight="1" s="53">
      <c r="A96" s="34" t="n">
        <v>46231.81182565972</v>
      </c>
      <c r="B96" s="37" t="n">
        <v>3</v>
      </c>
      <c r="C96" s="37" t="inlineStr">
        <is>
          <t>dynamisers@gmail.com</t>
        </is>
      </c>
      <c r="D96" s="37" t="inlineStr">
        <is>
          <t>EMAIL_1</t>
        </is>
      </c>
      <c r="E96" s="37" t="inlineStr">
        <is>
          <t>Service 1</t>
        </is>
      </c>
      <c r="F96" s="37" t="inlineStr">
        <is>
          <t>Website Development</t>
        </is>
      </c>
      <c r="G96" s="37" t="inlineStr">
        <is>
          <t>EMAIL_1_SENT</t>
        </is>
      </c>
      <c r="H96" s="37" t="n"/>
      <c r="I96" s="37" t="inlineStr">
        <is>
          <t>19fa90586e7ebd8b</t>
        </is>
      </c>
      <c r="J96" s="37" t="inlineStr">
        <is>
          <t>SUCCESS</t>
        </is>
      </c>
      <c r="K96" s="37" t="n"/>
    </row>
    <row r="97" ht="22.5" customHeight="1" s="53">
      <c r="A97" s="34" t="n">
        <v>46231.81389392361</v>
      </c>
      <c r="B97" s="37" t="n">
        <v>3</v>
      </c>
      <c r="C97" s="37" t="inlineStr">
        <is>
          <t>dynamisers@gmail.com</t>
        </is>
      </c>
      <c r="D97" s="37" t="inlineStr">
        <is>
          <t>EMAIL_1</t>
        </is>
      </c>
      <c r="E97" s="37" t="inlineStr">
        <is>
          <t>Service 1</t>
        </is>
      </c>
      <c r="F97" s="37" t="inlineStr">
        <is>
          <t>Website Development</t>
        </is>
      </c>
      <c r="G97" s="37" t="inlineStr">
        <is>
          <t>EMAIL_1_SENT</t>
        </is>
      </c>
      <c r="H97" s="37" t="n"/>
      <c r="I97" s="37" t="inlineStr">
        <is>
          <t>19fa90840ab14170</t>
        </is>
      </c>
      <c r="J97" s="37" t="inlineStr">
        <is>
          <t>SUCCESS</t>
        </is>
      </c>
      <c r="K97" s="37" t="n"/>
    </row>
    <row r="98" ht="22.5" customHeight="1" s="53">
      <c r="A98" s="34" t="n">
        <v>46231.81480549768</v>
      </c>
      <c r="B98" s="37" t="n">
        <v>3</v>
      </c>
      <c r="C98" s="37" t="inlineStr">
        <is>
          <t>dynamisers@gmail.com</t>
        </is>
      </c>
      <c r="D98" s="37" t="inlineStr">
        <is>
          <t>FOLLOWUP_1</t>
        </is>
      </c>
      <c r="E98" s="37" t="inlineStr">
        <is>
          <t>Service 1</t>
        </is>
      </c>
      <c r="F98" s="37" t="inlineStr">
        <is>
          <t>Website Development</t>
        </is>
      </c>
      <c r="G98" s="37" t="inlineStr">
        <is>
          <t>FOLLOWUP_1_SENT</t>
        </is>
      </c>
      <c r="H98" s="37" t="n"/>
      <c r="I98" s="37" t="inlineStr">
        <is>
          <t>19fa90840ab14170</t>
        </is>
      </c>
      <c r="J98" s="37" t="inlineStr">
        <is>
          <t>SUCCESS</t>
        </is>
      </c>
      <c r="K98" s="37" t="n"/>
    </row>
    <row r="99" ht="22.5" customHeight="1" s="53">
      <c r="A99" s="34" t="n">
        <v>46231.81665559028</v>
      </c>
      <c r="B99" s="37" t="n">
        <v>3</v>
      </c>
      <c r="C99" s="37" t="inlineStr">
        <is>
          <t>dynamisers@gmail.com</t>
        </is>
      </c>
      <c r="D99" s="37" t="inlineStr">
        <is>
          <t>FOLLOWUP_2</t>
        </is>
      </c>
      <c r="E99" s="37" t="inlineStr">
        <is>
          <t>Service 1</t>
        </is>
      </c>
      <c r="F99" s="37" t="inlineStr">
        <is>
          <t>Website Development</t>
        </is>
      </c>
      <c r="G99" s="37" t="inlineStr">
        <is>
          <t>FOLLOWUP_2_SENT</t>
        </is>
      </c>
      <c r="H99" s="37" t="n"/>
      <c r="I99" s="37" t="inlineStr">
        <is>
          <t>19fa90840ab14170</t>
        </is>
      </c>
      <c r="J99" s="37" t="inlineStr">
        <is>
          <t>SUCCESS</t>
        </is>
      </c>
      <c r="K99" s="37" t="n"/>
    </row>
    <row r="100" ht="22.5" customHeight="1" s="53">
      <c r="A100" s="34" t="n">
        <v>46232.64185454861</v>
      </c>
      <c r="B100" s="37" t="n">
        <v>998</v>
      </c>
      <c r="C100" s="37" t="inlineStr">
        <is>
          <t>nonexistent@your-test-domain.example</t>
        </is>
      </c>
      <c r="D100" s="37" t="inlineStr">
        <is>
          <t>EMAIL_BOUNCED</t>
        </is>
      </c>
      <c r="E100" s="37" t="inlineStr">
        <is>
          <t>Service 1</t>
        </is>
      </c>
      <c r="F100" s="37" t="inlineStr">
        <is>
          <t>Website Development</t>
        </is>
      </c>
      <c r="G100" s="37" t="inlineStr">
        <is>
          <t>INVALID</t>
        </is>
      </c>
      <c r="H100" s="37" t="n"/>
      <c r="I100" s="37" t="inlineStr">
        <is>
          <t>19fa737196c16e79</t>
        </is>
      </c>
      <c r="J100" s="37" t="inlineStr">
        <is>
          <t>FAILED</t>
        </is>
      </c>
      <c r="K100" s="37" t="inlineStr">
        <is>
          <t>Delivery failure / bounced email</t>
        </is>
      </c>
    </row>
    <row r="101" ht="22.5" customHeight="1" s="53">
      <c r="A101" s="34" t="n">
        <v>46232.64195052083</v>
      </c>
      <c r="B101" s="37" t="n">
        <v>1</v>
      </c>
      <c r="C101" s="37" t="inlineStr">
        <is>
          <t>divyantiwariuni4@gmail.com</t>
        </is>
      </c>
      <c r="D101" s="37" t="inlineStr">
        <is>
          <t>EMAIL_1</t>
        </is>
      </c>
      <c r="E101" s="37" t="inlineStr">
        <is>
          <t>Service 1</t>
        </is>
      </c>
      <c r="F101" s="37" t="inlineStr">
        <is>
          <t>Website Development</t>
        </is>
      </c>
      <c r="G101" s="37" t="inlineStr">
        <is>
          <t>EMAIL_1_SENT</t>
        </is>
      </c>
      <c r="H101" s="37" t="n"/>
      <c r="I101" s="37" t="inlineStr">
        <is>
          <t>19fad4beca46d980</t>
        </is>
      </c>
      <c r="J101" s="37" t="inlineStr">
        <is>
          <t>SUCCESS</t>
        </is>
      </c>
      <c r="K101" s="37" t="n"/>
    </row>
    <row r="102" ht="22.5" customHeight="1" s="53">
      <c r="A102" s="34" t="n">
        <v>46232.64256434028</v>
      </c>
      <c r="B102" s="37" t="n">
        <v>1</v>
      </c>
      <c r="C102" s="37" t="inlineStr">
        <is>
          <t>divyantiwariuni4@gmail.com</t>
        </is>
      </c>
      <c r="D102" s="37" t="inlineStr">
        <is>
          <t>FOLLOWUP_1</t>
        </is>
      </c>
      <c r="E102" s="37" t="inlineStr">
        <is>
          <t>Service 1</t>
        </is>
      </c>
      <c r="F102" s="37" t="inlineStr">
        <is>
          <t>Website Development</t>
        </is>
      </c>
      <c r="G102" s="37" t="inlineStr">
        <is>
          <t>FOLLOWUP_1_SENT</t>
        </is>
      </c>
      <c r="H102" s="37" t="n"/>
      <c r="I102" s="37" t="inlineStr">
        <is>
          <t>19fad4beca46d980</t>
        </is>
      </c>
      <c r="J102" s="37" t="inlineStr">
        <is>
          <t>SUCCESS</t>
        </is>
      </c>
      <c r="K102" s="37" t="n"/>
    </row>
    <row r="103" ht="22.5" customHeight="1" s="53">
      <c r="A103" s="34" t="n">
        <v>46232.64266186343</v>
      </c>
      <c r="B103" s="37" t="n">
        <v>1</v>
      </c>
      <c r="C103" s="37" t="inlineStr">
        <is>
          <t>divyantiwariuni4@gmail.com</t>
        </is>
      </c>
      <c r="D103" s="37" t="inlineStr">
        <is>
          <t>FOLLOWUP_2</t>
        </is>
      </c>
      <c r="E103" s="37" t="inlineStr">
        <is>
          <t>Service 1</t>
        </is>
      </c>
      <c r="F103" s="37" t="inlineStr">
        <is>
          <t>Website Development</t>
        </is>
      </c>
      <c r="G103" s="37" t="inlineStr">
        <is>
          <t>FOLLOWUP_2_SENT</t>
        </is>
      </c>
      <c r="H103" s="37" t="n"/>
      <c r="I103" s="37" t="inlineStr">
        <is>
          <t>19fad4beca46d980</t>
        </is>
      </c>
      <c r="J103" s="37" t="inlineStr">
        <is>
          <t>SUCCESS</t>
        </is>
      </c>
      <c r="K103" s="37" t="n"/>
    </row>
    <row r="104" ht="22.5" customHeight="1" s="53">
      <c r="A104" s="34" t="n">
        <v>46232.64275503472</v>
      </c>
      <c r="B104" s="37" t="n">
        <v>1</v>
      </c>
      <c r="C104" s="37" t="inlineStr">
        <is>
          <t>divyantiwariuni4@gmail.com</t>
        </is>
      </c>
      <c r="D104" s="37" t="inlineStr">
        <is>
          <t>FOLLOWUP_3</t>
        </is>
      </c>
      <c r="E104" s="37" t="inlineStr">
        <is>
          <t>Service 1</t>
        </is>
      </c>
      <c r="F104" s="37" t="inlineStr">
        <is>
          <t>Website Development</t>
        </is>
      </c>
      <c r="G104" s="37" t="inlineStr">
        <is>
          <t>FOLLOWUP_3_SENT</t>
        </is>
      </c>
      <c r="H104" s="37" t="n"/>
      <c r="I104" s="37" t="inlineStr">
        <is>
          <t>19fad4beca46d980</t>
        </is>
      </c>
      <c r="J104" s="37" t="inlineStr">
        <is>
          <t>SUCCESS</t>
        </is>
      </c>
      <c r="K104" s="37" t="n"/>
    </row>
    <row r="105" ht="22.5" customHeight="1" s="53">
      <c r="A105" s="34" t="n">
        <v>46232.64319479166</v>
      </c>
      <c r="B105" s="37" t="n">
        <v>1</v>
      </c>
      <c r="C105" s="37" t="inlineStr">
        <is>
          <t>divyantiwariuni4@gmail.com</t>
        </is>
      </c>
      <c r="D105" s="37" t="inlineStr">
        <is>
          <t>CAMPAIGN_NO_REPLY</t>
        </is>
      </c>
      <c r="E105" s="37" t="inlineStr">
        <is>
          <t>Service 1</t>
        </is>
      </c>
      <c r="F105" s="37" t="inlineStr">
        <is>
          <t>Website Development</t>
        </is>
      </c>
      <c r="G105" s="37" t="inlineStr">
        <is>
          <t>NOT_INTERESTED_SERVICE_1</t>
        </is>
      </c>
      <c r="H105" s="37" t="n"/>
      <c r="I105" s="37" t="inlineStr">
        <is>
          <t>19fad4beca46d980</t>
        </is>
      </c>
      <c r="J105" s="37" t="inlineStr">
        <is>
          <t>SUCCESS</t>
        </is>
      </c>
      <c r="K105" s="37" t="n"/>
    </row>
    <row r="106" ht="22.5" customHeight="1" s="53">
      <c r="A106" s="34" t="n">
        <v>46232.64320177084</v>
      </c>
      <c r="B106" s="37" t="n">
        <v>1</v>
      </c>
      <c r="C106" s="37" t="inlineStr">
        <is>
          <t>divyantiwariuni4@gmail.com</t>
        </is>
      </c>
      <c r="D106" s="37" t="inlineStr">
        <is>
          <t>CAMPAIGN_STARTED</t>
        </is>
      </c>
      <c r="E106" s="37" t="inlineStr">
        <is>
          <t>Service 2</t>
        </is>
      </c>
      <c r="F106" s="37" t="inlineStr">
        <is>
          <t>SEO</t>
        </is>
      </c>
      <c r="G106" s="37" t="inlineStr">
        <is>
          <t>NEW</t>
        </is>
      </c>
      <c r="H106" s="37" t="n"/>
      <c r="I106" s="37" t="n"/>
      <c r="J106" s="37" t="inlineStr">
        <is>
          <t>SUCCESS</t>
        </is>
      </c>
      <c r="K106" s="37" t="n"/>
    </row>
    <row r="107" ht="22.5" customHeight="1" s="53">
      <c r="A107" s="34" t="n">
        <v>46232.64348138889</v>
      </c>
      <c r="B107" s="37" t="n">
        <v>1</v>
      </c>
      <c r="C107" s="37" t="inlineStr">
        <is>
          <t>divyantiwariuni4@gmail.com</t>
        </is>
      </c>
      <c r="D107" s="37" t="inlineStr">
        <is>
          <t>EMAIL_1</t>
        </is>
      </c>
      <c r="E107" s="37" t="inlineStr">
        <is>
          <t>Service 2</t>
        </is>
      </c>
      <c r="F107" s="37" t="inlineStr">
        <is>
          <t>SEO</t>
        </is>
      </c>
      <c r="G107" s="37" t="inlineStr">
        <is>
          <t>EMAIL_1_SENT</t>
        </is>
      </c>
      <c r="H107" s="37" t="n"/>
      <c r="I107" s="37" t="inlineStr">
        <is>
          <t>19fad4df25bcb35e</t>
        </is>
      </c>
      <c r="J107" s="37" t="inlineStr">
        <is>
          <t>SUCCESS</t>
        </is>
      </c>
      <c r="K107" s="37" t="n"/>
    </row>
    <row r="108" ht="22.5" customHeight="1" s="53">
      <c r="A108" s="34" t="n">
        <v>46232.64370166667</v>
      </c>
      <c r="B108" s="37" t="n">
        <v>1</v>
      </c>
      <c r="C108" s="37" t="inlineStr">
        <is>
          <t>divyantiwariuni4@gmail.com</t>
        </is>
      </c>
      <c r="D108" s="37" t="inlineStr">
        <is>
          <t>FOLLOWUP_1</t>
        </is>
      </c>
      <c r="E108" s="37" t="inlineStr">
        <is>
          <t>Service 2</t>
        </is>
      </c>
      <c r="F108" s="37" t="inlineStr">
        <is>
          <t>SEO</t>
        </is>
      </c>
      <c r="G108" s="37" t="inlineStr">
        <is>
          <t>FOLLOWUP_1_SENT</t>
        </is>
      </c>
      <c r="H108" s="37" t="n"/>
      <c r="I108" s="37" t="inlineStr">
        <is>
          <t>19fad4df25bcb35e</t>
        </is>
      </c>
      <c r="J108" s="37" t="inlineStr">
        <is>
          <t>SUCCESS</t>
        </is>
      </c>
      <c r="K108" s="37" t="n"/>
    </row>
    <row r="109" ht="22.5" customHeight="1" s="53">
      <c r="A109" s="34" t="n">
        <v>46232.64378782408</v>
      </c>
      <c r="B109" s="37" t="n">
        <v>1</v>
      </c>
      <c r="C109" s="37" t="inlineStr">
        <is>
          <t>divyantiwariuni4@gmail.com</t>
        </is>
      </c>
      <c r="D109" s="37" t="inlineStr">
        <is>
          <t>FOLLOWUP_2</t>
        </is>
      </c>
      <c r="E109" s="37" t="inlineStr">
        <is>
          <t>Service 2</t>
        </is>
      </c>
      <c r="F109" s="37" t="inlineStr">
        <is>
          <t>SEO</t>
        </is>
      </c>
      <c r="G109" s="37" t="inlineStr">
        <is>
          <t>FOLLOWUP_2_SENT</t>
        </is>
      </c>
      <c r="H109" s="37" t="n"/>
      <c r="I109" s="37" t="inlineStr">
        <is>
          <t>19fad4df25bcb35e</t>
        </is>
      </c>
      <c r="J109" s="37" t="inlineStr">
        <is>
          <t>SUCCESS</t>
        </is>
      </c>
      <c r="K109" s="37" t="n"/>
    </row>
    <row r="110" ht="22.5" customHeight="1" s="53">
      <c r="A110" s="34" t="n">
        <v>46232.64391652778</v>
      </c>
      <c r="B110" s="37" t="n">
        <v>1</v>
      </c>
      <c r="C110" s="37" t="inlineStr">
        <is>
          <t>divyantiwariuni4@gmail.com</t>
        </is>
      </c>
      <c r="D110" s="37" t="inlineStr">
        <is>
          <t>FOLLOWUP_3</t>
        </is>
      </c>
      <c r="E110" s="37" t="inlineStr">
        <is>
          <t>Service 2</t>
        </is>
      </c>
      <c r="F110" s="37" t="inlineStr">
        <is>
          <t>SEO</t>
        </is>
      </c>
      <c r="G110" s="37" t="inlineStr">
        <is>
          <t>FOLLOWUP_3_SENT</t>
        </is>
      </c>
      <c r="H110" s="37" t="n"/>
      <c r="I110" s="37" t="inlineStr">
        <is>
          <t>19fad4df25bcb35e</t>
        </is>
      </c>
      <c r="J110" s="37" t="inlineStr">
        <is>
          <t>SUCCESS</t>
        </is>
      </c>
      <c r="K110" s="37" t="n"/>
    </row>
    <row r="111" ht="22.5" customHeight="1" s="53">
      <c r="A111" s="34" t="n">
        <v>46232.64401811342</v>
      </c>
      <c r="B111" s="37" t="n">
        <v>1</v>
      </c>
      <c r="C111" s="37" t="inlineStr">
        <is>
          <t>divyantiwariuni4@gmail.com</t>
        </is>
      </c>
      <c r="D111" s="37" t="inlineStr">
        <is>
          <t>CAMPAIGN_NO_REPLY</t>
        </is>
      </c>
      <c r="E111" s="37" t="inlineStr">
        <is>
          <t>Service 2</t>
        </is>
      </c>
      <c r="F111" s="37" t="inlineStr">
        <is>
          <t>SEO</t>
        </is>
      </c>
      <c r="G111" s="37" t="inlineStr">
        <is>
          <t>NOT_INTERESTED_SERVICE_2</t>
        </is>
      </c>
      <c r="H111" s="37" t="n"/>
      <c r="I111" s="37" t="inlineStr">
        <is>
          <t>19fad4df25bcb35e</t>
        </is>
      </c>
      <c r="J111" s="37" t="inlineStr">
        <is>
          <t>SUCCESS</t>
        </is>
      </c>
      <c r="K111" s="37" t="n"/>
    </row>
    <row r="112" ht="22.5" customHeight="1" s="53">
      <c r="A112" s="34" t="n">
        <v>46232.64402310185</v>
      </c>
      <c r="B112" s="37" t="n">
        <v>1</v>
      </c>
      <c r="C112" s="37" t="inlineStr">
        <is>
          <t>divyantiwariuni4@gmail.com</t>
        </is>
      </c>
      <c r="D112" s="37" t="inlineStr">
        <is>
          <t>CAMPAIGN_STARTED</t>
        </is>
      </c>
      <c r="E112" s="37" t="inlineStr">
        <is>
          <t>Service 3</t>
        </is>
      </c>
      <c r="F112" s="37" t="inlineStr">
        <is>
          <t>Google Ads</t>
        </is>
      </c>
      <c r="G112" s="37" t="inlineStr">
        <is>
          <t>NEW</t>
        </is>
      </c>
      <c r="H112" s="37" t="n"/>
      <c r="I112" s="37" t="n"/>
      <c r="J112" s="37" t="inlineStr">
        <is>
          <t>SUCCESS</t>
        </is>
      </c>
      <c r="K112" s="37" t="n"/>
    </row>
    <row r="113" ht="22.5" customHeight="1" s="53">
      <c r="A113" s="34" t="n">
        <v>46232.64426123843</v>
      </c>
      <c r="B113" s="37" t="n">
        <v>1</v>
      </c>
      <c r="C113" s="37" t="inlineStr">
        <is>
          <t>divyantiwariuni4@gmail.com</t>
        </is>
      </c>
      <c r="D113" s="37" t="inlineStr">
        <is>
          <t>EMAIL_1</t>
        </is>
      </c>
      <c r="E113" s="37" t="inlineStr">
        <is>
          <t>Service 3</t>
        </is>
      </c>
      <c r="F113" s="37" t="inlineStr">
        <is>
          <t>Google Ads</t>
        </is>
      </c>
      <c r="G113" s="37" t="inlineStr">
        <is>
          <t>EMAIL_1_SENT</t>
        </is>
      </c>
      <c r="H113" s="37" t="n"/>
      <c r="I113" s="37" t="inlineStr">
        <is>
          <t>19fad4ef915c4ebf</t>
        </is>
      </c>
      <c r="J113" s="37" t="inlineStr">
        <is>
          <t>SUCCESS</t>
        </is>
      </c>
      <c r="K113" s="37" t="n"/>
    </row>
    <row r="114" ht="22.5" customHeight="1" s="53">
      <c r="A114" s="34" t="n">
        <v>46232.64445908565</v>
      </c>
      <c r="B114" s="37" t="n">
        <v>1</v>
      </c>
      <c r="C114" s="37" t="inlineStr">
        <is>
          <t>divyantiwariuni4@gmail.com</t>
        </is>
      </c>
      <c r="D114" s="37" t="inlineStr">
        <is>
          <t>FOLLOWUP_1</t>
        </is>
      </c>
      <c r="E114" s="37" t="inlineStr">
        <is>
          <t>Service 3</t>
        </is>
      </c>
      <c r="F114" s="37" t="inlineStr">
        <is>
          <t>Google Ads</t>
        </is>
      </c>
      <c r="G114" s="37" t="inlineStr">
        <is>
          <t>FOLLOWUP_1_SENT</t>
        </is>
      </c>
      <c r="H114" s="37" t="n"/>
      <c r="I114" s="37" t="inlineStr">
        <is>
          <t>19fad4ef915c4ebf</t>
        </is>
      </c>
      <c r="J114" s="37" t="inlineStr">
        <is>
          <t>SUCCESS</t>
        </is>
      </c>
      <c r="K114" s="37" t="n"/>
    </row>
    <row r="115" ht="22.5" customHeight="1" s="53">
      <c r="A115" s="34" t="n">
        <v>46232.64592798611</v>
      </c>
      <c r="B115" s="37" t="n">
        <v>3</v>
      </c>
      <c r="C115" s="37" t="inlineStr">
        <is>
          <t>dynamisers@gmail.com</t>
        </is>
      </c>
      <c r="D115" s="37" t="inlineStr">
        <is>
          <t>EMAIL_1</t>
        </is>
      </c>
      <c r="E115" s="37" t="inlineStr">
        <is>
          <t>Service 1</t>
        </is>
      </c>
      <c r="F115" s="37" t="inlineStr">
        <is>
          <t>Website Development</t>
        </is>
      </c>
      <c r="G115" s="37" t="inlineStr">
        <is>
          <t>EMAIL_1_SENT</t>
        </is>
      </c>
      <c r="H115" s="37" t="n"/>
      <c r="I115" s="37" t="inlineStr">
        <is>
          <t>19fad512a08975a7</t>
        </is>
      </c>
      <c r="J115" s="37" t="inlineStr">
        <is>
          <t>SUCCESS</t>
        </is>
      </c>
      <c r="K115" s="37" t="n"/>
    </row>
    <row r="116" ht="22.5" customHeight="1" s="53">
      <c r="A116" s="34" t="n">
        <v>46232.64657128472</v>
      </c>
      <c r="B116" s="37" t="n">
        <v>3</v>
      </c>
      <c r="C116" s="37" t="inlineStr">
        <is>
          <t>dynamisers@gmail.com</t>
        </is>
      </c>
      <c r="D116" s="37" t="inlineStr">
        <is>
          <t>FOLLOWUP_1</t>
        </is>
      </c>
      <c r="E116" s="37" t="inlineStr">
        <is>
          <t>Service 1</t>
        </is>
      </c>
      <c r="F116" s="37" t="inlineStr">
        <is>
          <t>Website Development</t>
        </is>
      </c>
      <c r="G116" s="37" t="inlineStr">
        <is>
          <t>FOLLOWUP_1_SENT</t>
        </is>
      </c>
      <c r="H116" s="37" t="n"/>
      <c r="I116" s="37" t="inlineStr">
        <is>
          <t>19fad512a08975a7</t>
        </is>
      </c>
      <c r="J116" s="37" t="inlineStr">
        <is>
          <t>SUCCESS</t>
        </is>
      </c>
      <c r="K116" s="37" t="n"/>
    </row>
    <row r="117" ht="22.5" customHeight="1" s="53">
      <c r="A117" s="34" t="n">
        <v>46232.64683760417</v>
      </c>
      <c r="B117" s="37" t="n">
        <v>3</v>
      </c>
      <c r="C117" s="37" t="inlineStr">
        <is>
          <t>dynamisers@gmail.com</t>
        </is>
      </c>
      <c r="D117" s="37" t="inlineStr">
        <is>
          <t>FOLLOWUP_2</t>
        </is>
      </c>
      <c r="E117" s="37" t="inlineStr">
        <is>
          <t>Service 1</t>
        </is>
      </c>
      <c r="F117" s="37" t="inlineStr">
        <is>
          <t>Website Development</t>
        </is>
      </c>
      <c r="G117" s="37" t="inlineStr">
        <is>
          <t>FOLLOWUP_2_SENT</t>
        </is>
      </c>
      <c r="H117" s="37" t="n"/>
      <c r="I117" s="37" t="inlineStr">
        <is>
          <t>19fad512a08975a7</t>
        </is>
      </c>
      <c r="J117" s="37" t="inlineStr">
        <is>
          <t>SUCCESS</t>
        </is>
      </c>
      <c r="K117" s="37" t="n"/>
    </row>
    <row r="118" ht="22.5" customHeight="1" s="53">
      <c r="A118" s="34" t="n">
        <v>46232.6472533912</v>
      </c>
      <c r="B118" s="37" t="n">
        <v>3</v>
      </c>
      <c r="C118" s="37" t="inlineStr">
        <is>
          <t>dynamisers@gmail.com</t>
        </is>
      </c>
      <c r="D118" s="37" t="inlineStr">
        <is>
          <t>FOLLOWUP_3</t>
        </is>
      </c>
      <c r="E118" s="37" t="inlineStr">
        <is>
          <t>Service 1</t>
        </is>
      </c>
      <c r="F118" s="37" t="inlineStr">
        <is>
          <t>Website Development</t>
        </is>
      </c>
      <c r="G118" s="37" t="inlineStr">
        <is>
          <t>FOLLOWUP_3_SENT</t>
        </is>
      </c>
      <c r="H118" s="37" t="n"/>
      <c r="I118" s="37" t="inlineStr">
        <is>
          <t>19fad512a08975a7</t>
        </is>
      </c>
      <c r="J118" s="37" t="inlineStr">
        <is>
          <t>SUCCESS</t>
        </is>
      </c>
      <c r="K118" s="37" t="n"/>
    </row>
    <row r="119" ht="22.5" customHeight="1" s="53">
      <c r="A119" s="34" t="n">
        <v>46232.64794466435</v>
      </c>
      <c r="B119" s="37" t="n">
        <v>3</v>
      </c>
      <c r="C119" s="37" t="inlineStr">
        <is>
          <t>dynamisers@gmail.com</t>
        </is>
      </c>
      <c r="D119" s="37" t="inlineStr">
        <is>
          <t>CAMPAIGN_NO_REPLY</t>
        </is>
      </c>
      <c r="E119" s="37" t="inlineStr">
        <is>
          <t>Service 1</t>
        </is>
      </c>
      <c r="F119" s="37" t="inlineStr">
        <is>
          <t>Website Development</t>
        </is>
      </c>
      <c r="G119" s="37" t="inlineStr">
        <is>
          <t>NOT_INTERESTED_SERVICE_1</t>
        </is>
      </c>
      <c r="H119" s="37" t="n"/>
      <c r="I119" s="37" t="inlineStr">
        <is>
          <t>19fad512a08975a7</t>
        </is>
      </c>
      <c r="J119" s="37" t="inlineStr">
        <is>
          <t>SUCCESS</t>
        </is>
      </c>
      <c r="K119" s="37" t="n"/>
    </row>
    <row r="120" ht="22.5" customHeight="1" s="53">
      <c r="A120" s="34" t="n">
        <v>46232.64795278935</v>
      </c>
      <c r="B120" s="37" t="n">
        <v>3</v>
      </c>
      <c r="C120" s="37" t="inlineStr">
        <is>
          <t>dynamisers@gmail.com</t>
        </is>
      </c>
      <c r="D120" s="37" t="inlineStr">
        <is>
          <t>CAMPAIGN_STARTED</t>
        </is>
      </c>
      <c r="E120" s="37" t="inlineStr">
        <is>
          <t>Service 2</t>
        </is>
      </c>
      <c r="F120" s="37" t="inlineStr">
        <is>
          <t>SEO</t>
        </is>
      </c>
      <c r="G120" s="37" t="inlineStr">
        <is>
          <t>NEW</t>
        </is>
      </c>
      <c r="H120" s="37" t="n"/>
      <c r="I120" s="37" t="n"/>
      <c r="J120" s="37" t="inlineStr">
        <is>
          <t>SUCCESS</t>
        </is>
      </c>
      <c r="K120" s="37" t="n"/>
    </row>
    <row r="121" ht="22.5" customHeight="1" s="53">
      <c r="A121" s="34" t="n">
        <v>46232.64870435185</v>
      </c>
      <c r="B121" s="37" t="n">
        <v>3</v>
      </c>
      <c r="C121" s="37" t="inlineStr">
        <is>
          <t>dynamisers@gmail.com</t>
        </is>
      </c>
      <c r="D121" s="37" t="inlineStr">
        <is>
          <t>EMAIL_1</t>
        </is>
      </c>
      <c r="E121" s="37" t="inlineStr">
        <is>
          <t>Service 2</t>
        </is>
      </c>
      <c r="F121" s="37" t="inlineStr">
        <is>
          <t>SEO</t>
        </is>
      </c>
      <c r="G121" s="37" t="inlineStr">
        <is>
          <t>EMAIL_1_SENT</t>
        </is>
      </c>
      <c r="H121" s="37" t="n"/>
      <c r="I121" s="37" t="inlineStr">
        <is>
          <t>19fad54d5e35bf59</t>
        </is>
      </c>
      <c r="J121" s="37" t="inlineStr">
        <is>
          <t>SUCCESS</t>
        </is>
      </c>
      <c r="K121" s="37" t="n"/>
    </row>
    <row r="122" ht="22.5" customHeight="1" s="53">
      <c r="A122" s="34" t="n">
        <v>46232.64948204861</v>
      </c>
      <c r="B122" s="37" t="n">
        <v>3</v>
      </c>
      <c r="C122" s="37" t="inlineStr">
        <is>
          <t>dynamisers@gmail.com</t>
        </is>
      </c>
      <c r="D122" s="37" t="inlineStr">
        <is>
          <t>FOLLOWUP_1</t>
        </is>
      </c>
      <c r="E122" s="37" t="inlineStr">
        <is>
          <t>Service 2</t>
        </is>
      </c>
      <c r="F122" s="37" t="inlineStr">
        <is>
          <t>SEO</t>
        </is>
      </c>
      <c r="G122" s="37" t="inlineStr">
        <is>
          <t>FOLLOWUP_1_SENT</t>
        </is>
      </c>
      <c r="H122" s="37" t="n"/>
      <c r="I122" s="37" t="inlineStr">
        <is>
          <t>19fad54d5e35bf59</t>
        </is>
      </c>
      <c r="J122" s="37" t="inlineStr">
        <is>
          <t>SUCCESS</t>
        </is>
      </c>
      <c r="K122" s="37" t="n"/>
    </row>
    <row r="123" ht="22.5" customHeight="1" s="53">
      <c r="A123" s="34" t="n">
        <v>46232.65003924769</v>
      </c>
      <c r="B123" s="37" t="n">
        <v>3</v>
      </c>
      <c r="C123" s="37" t="inlineStr">
        <is>
          <t>dynamisers@gmail.com</t>
        </is>
      </c>
      <c r="D123" s="37" t="inlineStr">
        <is>
          <t>FOLLOWUP_2</t>
        </is>
      </c>
      <c r="E123" s="37" t="inlineStr">
        <is>
          <t>Service 2</t>
        </is>
      </c>
      <c r="F123" s="37" t="inlineStr">
        <is>
          <t>SEO</t>
        </is>
      </c>
      <c r="G123" s="37" t="inlineStr">
        <is>
          <t>FOLLOWUP_2_SENT</t>
        </is>
      </c>
      <c r="H123" s="37" t="n"/>
      <c r="I123" s="37" t="inlineStr">
        <is>
          <t>19fad54d5e35bf59</t>
        </is>
      </c>
      <c r="J123" s="37" t="inlineStr">
        <is>
          <t>SUCCESS</t>
        </is>
      </c>
      <c r="K123" s="37" t="n"/>
    </row>
    <row r="124" ht="22.5" customHeight="1" s="53">
      <c r="A124" s="34" t="n">
        <v>46232.65073711806</v>
      </c>
      <c r="B124" s="37" t="n">
        <v>3</v>
      </c>
      <c r="C124" s="37" t="inlineStr">
        <is>
          <t>dynamisers@gmail.com</t>
        </is>
      </c>
      <c r="D124" s="37" t="inlineStr">
        <is>
          <t>FOLLOWUP_3</t>
        </is>
      </c>
      <c r="E124" s="37" t="inlineStr">
        <is>
          <t>Service 2</t>
        </is>
      </c>
      <c r="F124" s="37" t="inlineStr">
        <is>
          <t>SEO</t>
        </is>
      </c>
      <c r="G124" s="37" t="inlineStr">
        <is>
          <t>FOLLOWUP_3_SENT</t>
        </is>
      </c>
      <c r="H124" s="37" t="n"/>
      <c r="I124" s="37" t="inlineStr">
        <is>
          <t>19fad54d5e35bf59</t>
        </is>
      </c>
      <c r="J124" s="37" t="inlineStr">
        <is>
          <t>SUCCESS</t>
        </is>
      </c>
      <c r="K124" s="37" t="n"/>
    </row>
    <row r="125" ht="22.5" customHeight="1" s="53">
      <c r="A125" s="34" t="n">
        <v>46232.65143642361</v>
      </c>
      <c r="B125" s="37" t="n">
        <v>3</v>
      </c>
      <c r="C125" s="37" t="inlineStr">
        <is>
          <t>dynamisers@gmail.com</t>
        </is>
      </c>
      <c r="D125" s="37" t="inlineStr">
        <is>
          <t>CAMPAIGN_NO_REPLY</t>
        </is>
      </c>
      <c r="E125" s="37" t="inlineStr">
        <is>
          <t>Service 2</t>
        </is>
      </c>
      <c r="F125" s="37" t="inlineStr">
        <is>
          <t>SEO</t>
        </is>
      </c>
      <c r="G125" s="37" t="inlineStr">
        <is>
          <t>NOT_INTERESTED_SERVICE_2</t>
        </is>
      </c>
      <c r="H125" s="37" t="n"/>
      <c r="I125" s="37" t="inlineStr">
        <is>
          <t>19fad54d5e35bf59</t>
        </is>
      </c>
      <c r="J125" s="37" t="inlineStr">
        <is>
          <t>SUCCESS</t>
        </is>
      </c>
      <c r="K125" s="37" t="n"/>
    </row>
    <row r="126" ht="22.5" customHeight="1" s="53">
      <c r="A126" s="34" t="n">
        <v>46232.65144300926</v>
      </c>
      <c r="B126" s="37" t="n">
        <v>3</v>
      </c>
      <c r="C126" s="37" t="inlineStr">
        <is>
          <t>dynamisers@gmail.com</t>
        </is>
      </c>
      <c r="D126" s="37" t="inlineStr">
        <is>
          <t>CAMPAIGN_STARTED</t>
        </is>
      </c>
      <c r="E126" s="37" t="inlineStr">
        <is>
          <t>Service 3</t>
        </is>
      </c>
      <c r="F126" s="37" t="inlineStr">
        <is>
          <t>Google Ads</t>
        </is>
      </c>
      <c r="G126" s="37" t="inlineStr">
        <is>
          <t>NEW</t>
        </is>
      </c>
      <c r="H126" s="37" t="n"/>
      <c r="I126" s="37" t="n"/>
      <c r="J126" s="37" t="inlineStr">
        <is>
          <t>SUCCESS</t>
        </is>
      </c>
      <c r="K126" s="37" t="n"/>
    </row>
    <row r="127" ht="22.5" customHeight="1" s="53">
      <c r="A127" s="34" t="n">
        <v>46232.65150214121</v>
      </c>
      <c r="B127" s="37" t="n">
        <v>1</v>
      </c>
      <c r="C127" s="37" t="inlineStr">
        <is>
          <t>divyantiwariuni4@gmail.com</t>
        </is>
      </c>
      <c r="D127" s="37" t="inlineStr">
        <is>
          <t>EMAIL_1</t>
        </is>
      </c>
      <c r="E127" s="37" t="inlineStr">
        <is>
          <t>Service 1</t>
        </is>
      </c>
      <c r="F127" s="37" t="inlineStr">
        <is>
          <t>Website Development</t>
        </is>
      </c>
      <c r="G127" s="37" t="inlineStr">
        <is>
          <t>EMAIL_1_SENT</t>
        </is>
      </c>
      <c r="H127" s="37" t="n"/>
      <c r="I127" s="37" t="inlineStr">
        <is>
          <t>19fad58840978101</t>
        </is>
      </c>
      <c r="J127" s="37" t="inlineStr">
        <is>
          <t>SUCCESS</t>
        </is>
      </c>
      <c r="K127" s="37" t="n"/>
    </row>
    <row r="128" ht="22.5" customHeight="1" s="53">
      <c r="A128" s="34" t="n">
        <v>46232.65217231482</v>
      </c>
      <c r="B128" s="37" t="n">
        <v>1</v>
      </c>
      <c r="C128" s="37" t="inlineStr">
        <is>
          <t>divyantiwariuni4@gmail.com</t>
        </is>
      </c>
      <c r="D128" s="37" t="inlineStr">
        <is>
          <t>FOLLOWUP_1</t>
        </is>
      </c>
      <c r="E128" s="37" t="inlineStr">
        <is>
          <t>Service 1</t>
        </is>
      </c>
      <c r="F128" s="37" t="inlineStr">
        <is>
          <t>Website Development</t>
        </is>
      </c>
      <c r="G128" s="37" t="inlineStr">
        <is>
          <t>FOLLOWUP_1_SENT</t>
        </is>
      </c>
      <c r="H128" s="37" t="n"/>
      <c r="I128" s="37" t="inlineStr">
        <is>
          <t>19fad58840978101</t>
        </is>
      </c>
      <c r="J128" s="37" t="inlineStr">
        <is>
          <t>SUCCESS</t>
        </is>
      </c>
      <c r="K128" s="37" t="n"/>
    </row>
    <row r="129" ht="22.5" customHeight="1" s="53">
      <c r="A129" s="34" t="n">
        <v>46232.6522340625</v>
      </c>
      <c r="B129" s="37" t="n">
        <v>3</v>
      </c>
      <c r="C129" s="37" t="inlineStr">
        <is>
          <t>dynamisers@gmail.com</t>
        </is>
      </c>
      <c r="D129" s="37" t="inlineStr">
        <is>
          <t>EMAIL_1</t>
        </is>
      </c>
      <c r="E129" s="37" t="inlineStr">
        <is>
          <t>Service 3</t>
        </is>
      </c>
      <c r="F129" s="37" t="inlineStr">
        <is>
          <t>Google Ads</t>
        </is>
      </c>
      <c r="G129" s="37" t="inlineStr">
        <is>
          <t>EMAIL_1_SENT</t>
        </is>
      </c>
      <c r="H129" s="37" t="n"/>
      <c r="I129" s="37" t="inlineStr">
        <is>
          <t>19fad597dabbd341</t>
        </is>
      </c>
      <c r="J129" s="37" t="inlineStr">
        <is>
          <t>SUCCESS</t>
        </is>
      </c>
      <c r="K129" s="37" t="n"/>
    </row>
    <row r="130" ht="22.5" customHeight="1" s="53">
      <c r="A130" s="34" t="n">
        <v>46232.65285399306</v>
      </c>
      <c r="B130" s="37" t="n">
        <v>1</v>
      </c>
      <c r="C130" s="37" t="inlineStr">
        <is>
          <t>divyantiwariuni4@gmail.com</t>
        </is>
      </c>
      <c r="D130" s="37" t="inlineStr">
        <is>
          <t>FOLLOWUP_2</t>
        </is>
      </c>
      <c r="E130" s="37" t="inlineStr">
        <is>
          <t>Service 1</t>
        </is>
      </c>
      <c r="F130" s="37" t="inlineStr">
        <is>
          <t>Website Development</t>
        </is>
      </c>
      <c r="G130" s="37" t="inlineStr">
        <is>
          <t>FOLLOWUP_2_SENT</t>
        </is>
      </c>
      <c r="H130" s="37" t="n"/>
      <c r="I130" s="37" t="inlineStr">
        <is>
          <t>19fad58840978101</t>
        </is>
      </c>
      <c r="J130" s="37" t="inlineStr">
        <is>
          <t>SUCCESS</t>
        </is>
      </c>
      <c r="K130" s="37" t="n"/>
    </row>
    <row r="131" ht="22.5" customHeight="1" s="53">
      <c r="A131" s="34" t="n">
        <v>46232.65288458333</v>
      </c>
      <c r="B131" s="37" t="n">
        <v>3</v>
      </c>
      <c r="C131" s="37" t="inlineStr">
        <is>
          <t>dynamisers@gmail.com</t>
        </is>
      </c>
      <c r="D131" s="37" t="inlineStr">
        <is>
          <t>FOLLOWUP_1</t>
        </is>
      </c>
      <c r="E131" s="37" t="inlineStr">
        <is>
          <t>Service 3</t>
        </is>
      </c>
      <c r="F131" s="37" t="inlineStr">
        <is>
          <t>Google Ads</t>
        </is>
      </c>
      <c r="G131" s="37" t="inlineStr">
        <is>
          <t>FOLLOWUP_1_SENT</t>
        </is>
      </c>
      <c r="H131" s="37" t="n"/>
      <c r="I131" s="37" t="inlineStr">
        <is>
          <t>19fad597dabbd341</t>
        </is>
      </c>
      <c r="J131" s="37" t="inlineStr">
        <is>
          <t>SUCCESS</t>
        </is>
      </c>
      <c r="K131" s="37" t="n"/>
    </row>
    <row r="132" ht="22.5" customHeight="1" s="53">
      <c r="A132" s="34" t="n">
        <v>46232.65352501158</v>
      </c>
      <c r="B132" s="37" t="n">
        <v>1</v>
      </c>
      <c r="C132" s="37" t="inlineStr">
        <is>
          <t>divyantiwariuni4@gmail.com</t>
        </is>
      </c>
      <c r="D132" s="37" t="inlineStr">
        <is>
          <t>FOLLOWUP_3</t>
        </is>
      </c>
      <c r="E132" s="37" t="inlineStr">
        <is>
          <t>Service 1</t>
        </is>
      </c>
      <c r="F132" s="37" t="inlineStr">
        <is>
          <t>Website Development</t>
        </is>
      </c>
      <c r="G132" s="37" t="inlineStr">
        <is>
          <t>FOLLOWUP_3_SENT</t>
        </is>
      </c>
      <c r="H132" s="37" t="n"/>
      <c r="I132" s="37" t="inlineStr">
        <is>
          <t>19fad58840978101</t>
        </is>
      </c>
      <c r="J132" s="37" t="inlineStr">
        <is>
          <t>SUCCESS</t>
        </is>
      </c>
      <c r="K132" s="37" t="n"/>
    </row>
    <row r="133" ht="22.5" customHeight="1" s="53">
      <c r="A133" s="34" t="n">
        <v>46232.65355751158</v>
      </c>
      <c r="B133" s="37" t="n">
        <v>3</v>
      </c>
      <c r="C133" s="37" t="inlineStr">
        <is>
          <t>dynamisers@gmail.com</t>
        </is>
      </c>
      <c r="D133" s="37" t="inlineStr">
        <is>
          <t>FOLLOWUP_2</t>
        </is>
      </c>
      <c r="E133" s="37" t="inlineStr">
        <is>
          <t>Service 3</t>
        </is>
      </c>
      <c r="F133" s="37" t="inlineStr">
        <is>
          <t>Google Ads</t>
        </is>
      </c>
      <c r="G133" s="37" t="inlineStr">
        <is>
          <t>FOLLOWUP_2_SENT</t>
        </is>
      </c>
      <c r="H133" s="37" t="n"/>
      <c r="I133" s="37" t="inlineStr">
        <is>
          <t>19fad597dabbd341</t>
        </is>
      </c>
      <c r="J133" s="37" t="inlineStr">
        <is>
          <t>SUCCESS</t>
        </is>
      </c>
      <c r="K133" s="37" t="n"/>
    </row>
    <row r="134" ht="22.5" customHeight="1" s="53">
      <c r="A134" s="34" t="n">
        <v>46232.65424306713</v>
      </c>
      <c r="B134" s="37" t="n">
        <v>1</v>
      </c>
      <c r="C134" s="37" t="inlineStr">
        <is>
          <t>divyantiwariuni4@gmail.com</t>
        </is>
      </c>
      <c r="D134" s="37" t="inlineStr">
        <is>
          <t>CAMPAIGN_NO_REPLY</t>
        </is>
      </c>
      <c r="E134" s="37" t="inlineStr">
        <is>
          <t>Service 1</t>
        </is>
      </c>
      <c r="F134" s="37" t="inlineStr">
        <is>
          <t>Website Development</t>
        </is>
      </c>
      <c r="G134" s="37" t="inlineStr">
        <is>
          <t>NOT_INTERESTED_SERVICE_1</t>
        </is>
      </c>
      <c r="H134" s="37" t="n"/>
      <c r="I134" s="37" t="inlineStr">
        <is>
          <t>19fad58840978101</t>
        </is>
      </c>
      <c r="J134" s="37" t="inlineStr">
        <is>
          <t>SUCCESS</t>
        </is>
      </c>
      <c r="K134" s="37" t="n"/>
    </row>
    <row r="135" ht="22.5" customHeight="1" s="53">
      <c r="A135" s="34" t="n">
        <v>46232.65425761574</v>
      </c>
      <c r="B135" s="37" t="n">
        <v>1</v>
      </c>
      <c r="C135" s="37" t="inlineStr">
        <is>
          <t>divyantiwariuni4@gmail.com</t>
        </is>
      </c>
      <c r="D135" s="37" t="inlineStr">
        <is>
          <t>CAMPAIGN_STARTED</t>
        </is>
      </c>
      <c r="E135" s="37" t="inlineStr">
        <is>
          <t>Service 2</t>
        </is>
      </c>
      <c r="F135" s="37" t="inlineStr">
        <is>
          <t>SEO</t>
        </is>
      </c>
      <c r="G135" s="37" t="inlineStr">
        <is>
          <t>NEW</t>
        </is>
      </c>
      <c r="H135" s="37" t="n"/>
      <c r="I135" s="37" t="n"/>
      <c r="J135" s="37" t="inlineStr">
        <is>
          <t>SUCCESS</t>
        </is>
      </c>
      <c r="K135" s="37" t="n"/>
    </row>
    <row r="136" ht="22.5" customHeight="1" s="53">
      <c r="A136" s="34" t="n">
        <v>46232.65431884259</v>
      </c>
      <c r="B136" s="37" t="n">
        <v>3</v>
      </c>
      <c r="C136" s="37" t="inlineStr">
        <is>
          <t>dynamisers@gmail.com</t>
        </is>
      </c>
      <c r="D136" s="37" t="inlineStr">
        <is>
          <t>FOLLOWUP_3</t>
        </is>
      </c>
      <c r="E136" s="37" t="inlineStr">
        <is>
          <t>Service 3</t>
        </is>
      </c>
      <c r="F136" s="37" t="inlineStr">
        <is>
          <t>Google Ads</t>
        </is>
      </c>
      <c r="G136" s="37" t="inlineStr">
        <is>
          <t>FOLLOWUP_3_SENT</t>
        </is>
      </c>
      <c r="H136" s="37" t="n"/>
      <c r="I136" s="37" t="inlineStr">
        <is>
          <t>19fad597dabbd341</t>
        </is>
      </c>
      <c r="J136" s="37" t="inlineStr">
        <is>
          <t>SUCCESS</t>
        </is>
      </c>
      <c r="K136" s="37" t="n"/>
    </row>
    <row r="137" ht="22.5" customHeight="1" s="53">
      <c r="A137" s="34" t="n">
        <v>46232.65492342593</v>
      </c>
      <c r="B137" s="37" t="n">
        <v>3</v>
      </c>
      <c r="C137" s="37" t="inlineStr">
        <is>
          <t>dynamisers@gmail.com</t>
        </is>
      </c>
      <c r="D137" s="37" t="inlineStr">
        <is>
          <t>CAMPAIGN_NO_REPLY</t>
        </is>
      </c>
      <c r="E137" s="37" t="inlineStr">
        <is>
          <t>Service 3</t>
        </is>
      </c>
      <c r="F137" s="37" t="inlineStr">
        <is>
          <t>Google Ads</t>
        </is>
      </c>
      <c r="G137" s="37" t="inlineStr">
        <is>
          <t>NOT_INTERESTED_SERVICE_3</t>
        </is>
      </c>
      <c r="H137" s="37" t="n"/>
      <c r="I137" s="37" t="inlineStr">
        <is>
          <t>19fad597dabbd341</t>
        </is>
      </c>
      <c r="J137" s="37" t="inlineStr">
        <is>
          <t>SUCCESS</t>
        </is>
      </c>
      <c r="K137" s="37" t="n"/>
    </row>
    <row r="138" ht="22.5" customHeight="1" s="53">
      <c r="A138" s="34" t="n">
        <v>46232.65493800926</v>
      </c>
      <c r="B138" s="37" t="n">
        <v>3</v>
      </c>
      <c r="C138" s="37" t="inlineStr">
        <is>
          <t>dynamisers@gmail.com</t>
        </is>
      </c>
      <c r="D138" s="37" t="inlineStr">
        <is>
          <t>ALL_CAMPAIGNS_COMPLETED</t>
        </is>
      </c>
      <c r="E138" s="37" t="inlineStr">
        <is>
          <t>Service 3</t>
        </is>
      </c>
      <c r="F138" s="37" t="inlineStr">
        <is>
          <t>Google Ads</t>
        </is>
      </c>
      <c r="G138" s="37" t="inlineStr">
        <is>
          <t>COMPLETED</t>
        </is>
      </c>
      <c r="H138" s="37" t="n"/>
      <c r="I138" s="37" t="inlineStr">
        <is>
          <t>19fad597dabbd341</t>
        </is>
      </c>
      <c r="J138" s="37" t="inlineStr">
        <is>
          <t>SUCCESS</t>
        </is>
      </c>
      <c r="K138" s="37" t="n"/>
    </row>
    <row r="139" ht="22.5" customHeight="1" s="53">
      <c r="A139" s="34" t="n">
        <v>46232.65500657407</v>
      </c>
      <c r="B139" s="37" t="n">
        <v>1</v>
      </c>
      <c r="C139" s="37" t="inlineStr">
        <is>
          <t>divyantiwariuni4@gmail.com</t>
        </is>
      </c>
      <c r="D139" s="37" t="inlineStr">
        <is>
          <t>EMAIL_1</t>
        </is>
      </c>
      <c r="E139" s="37" t="inlineStr">
        <is>
          <t>Service 2</t>
        </is>
      </c>
      <c r="F139" s="37" t="inlineStr">
        <is>
          <t>SEO</t>
        </is>
      </c>
      <c r="G139" s="37" t="inlineStr">
        <is>
          <t>EMAIL_1_SENT</t>
        </is>
      </c>
      <c r="H139" s="37" t="n"/>
      <c r="I139" s="37" t="inlineStr">
        <is>
          <t>19fad5d23b3cba72</t>
        </is>
      </c>
      <c r="J139" s="37" t="inlineStr">
        <is>
          <t>SUCCESS</t>
        </is>
      </c>
      <c r="K139" s="37" t="n"/>
    </row>
    <row r="140" ht="22.5" customHeight="1" s="53">
      <c r="A140" s="34" t="n">
        <v>46232.6556669213</v>
      </c>
      <c r="B140" s="37" t="n">
        <v>1</v>
      </c>
      <c r="C140" s="37" t="inlineStr">
        <is>
          <t>divyantiwariuni4@gmail.com</t>
        </is>
      </c>
      <c r="D140" s="37" t="inlineStr">
        <is>
          <t>FOLLOWUP_1</t>
        </is>
      </c>
      <c r="E140" s="37" t="inlineStr">
        <is>
          <t>Service 2</t>
        </is>
      </c>
      <c r="F140" s="37" t="inlineStr">
        <is>
          <t>SEO</t>
        </is>
      </c>
      <c r="G140" s="37" t="inlineStr">
        <is>
          <t>FOLLOWUP_1_SENT</t>
        </is>
      </c>
      <c r="H140" s="37" t="n"/>
      <c r="I140" s="37" t="inlineStr">
        <is>
          <t>19fad5d23b3cba72</t>
        </is>
      </c>
      <c r="J140" s="37" t="inlineStr">
        <is>
          <t>SUCCESS</t>
        </is>
      </c>
      <c r="K140" s="37" t="n"/>
    </row>
    <row r="141" ht="22.5" customHeight="1" s="53">
      <c r="A141" s="34" t="n">
        <v>46232.65573761574</v>
      </c>
      <c r="B141" s="37" t="n">
        <v>4</v>
      </c>
      <c r="C141" s="37" t="inlineStr">
        <is>
          <t>piyushbutola07@gmail.com</t>
        </is>
      </c>
      <c r="D141" s="37" t="inlineStr">
        <is>
          <t>EMAIL_1</t>
        </is>
      </c>
      <c r="E141" s="37" t="inlineStr">
        <is>
          <t>Service 1</t>
        </is>
      </c>
      <c r="F141" s="37" t="inlineStr">
        <is>
          <t>Website Development</t>
        </is>
      </c>
      <c r="G141" s="37" t="inlineStr">
        <is>
          <t>EMAIL_1_SENT</t>
        </is>
      </c>
      <c r="H141" s="37" t="n"/>
      <c r="I141" s="37" t="inlineStr">
        <is>
          <t>19fad5e192b5353b</t>
        </is>
      </c>
      <c r="J141" s="37" t="inlineStr">
        <is>
          <t>SUCCESS</t>
        </is>
      </c>
      <c r="K141" s="37" t="n"/>
    </row>
    <row r="142" ht="22.5" customHeight="1" s="53">
      <c r="A142" s="34" t="n">
        <v>46232.65633596065</v>
      </c>
      <c r="B142" s="37" t="n">
        <v>1</v>
      </c>
      <c r="C142" s="37" t="inlineStr">
        <is>
          <t>divyantiwariuni4@gmail.com</t>
        </is>
      </c>
      <c r="D142" s="37" t="inlineStr">
        <is>
          <t>FOLLOWUP_2</t>
        </is>
      </c>
      <c r="E142" s="37" t="inlineStr">
        <is>
          <t>Service 2</t>
        </is>
      </c>
      <c r="F142" s="37" t="inlineStr">
        <is>
          <t>SEO</t>
        </is>
      </c>
      <c r="G142" s="37" t="inlineStr">
        <is>
          <t>FOLLOWUP_2_SENT</t>
        </is>
      </c>
      <c r="H142" s="37" t="n"/>
      <c r="I142" s="37" t="inlineStr">
        <is>
          <t>19fad5d23b3cba72</t>
        </is>
      </c>
      <c r="J142" s="37" t="inlineStr">
        <is>
          <t>SUCCESS</t>
        </is>
      </c>
      <c r="K142" s="37" t="n"/>
    </row>
    <row r="143" ht="22.5" customHeight="1" s="53">
      <c r="A143" s="34" t="n">
        <v>46232.65639974537</v>
      </c>
      <c r="B143" s="37" t="n">
        <v>4</v>
      </c>
      <c r="C143" s="37" t="inlineStr">
        <is>
          <t>piyushbutola07@gmail.com</t>
        </is>
      </c>
      <c r="D143" s="37" t="inlineStr">
        <is>
          <t>FOLLOWUP_1</t>
        </is>
      </c>
      <c r="E143" s="37" t="inlineStr">
        <is>
          <t>Service 1</t>
        </is>
      </c>
      <c r="F143" s="37" t="inlineStr">
        <is>
          <t>Website Development</t>
        </is>
      </c>
      <c r="G143" s="37" t="inlineStr">
        <is>
          <t>FOLLOWUP_1_SENT</t>
        </is>
      </c>
      <c r="H143" s="37" t="n"/>
      <c r="I143" s="37" t="inlineStr">
        <is>
          <t>19fad5e192b5353b</t>
        </is>
      </c>
      <c r="J143" s="37" t="inlineStr">
        <is>
          <t>SUCCESS</t>
        </is>
      </c>
      <c r="K143" s="37" t="n"/>
    </row>
    <row r="144" ht="22.5" customHeight="1" s="53">
      <c r="A144" s="34" t="n">
        <v>46232.65707384259</v>
      </c>
      <c r="B144" s="37" t="n">
        <v>1</v>
      </c>
      <c r="C144" s="37" t="inlineStr">
        <is>
          <t>divyantiwariuni4@gmail.com</t>
        </is>
      </c>
      <c r="D144" s="37" t="inlineStr">
        <is>
          <t>FOLLOWUP_3</t>
        </is>
      </c>
      <c r="E144" s="37" t="inlineStr">
        <is>
          <t>Service 2</t>
        </is>
      </c>
      <c r="F144" s="37" t="inlineStr">
        <is>
          <t>SEO</t>
        </is>
      </c>
      <c r="G144" s="37" t="inlineStr">
        <is>
          <t>FOLLOWUP_3_SENT</t>
        </is>
      </c>
      <c r="H144" s="37" t="n"/>
      <c r="I144" s="37" t="inlineStr">
        <is>
          <t>19fad5d23b3cba72</t>
        </is>
      </c>
      <c r="J144" s="37" t="inlineStr">
        <is>
          <t>SUCCESS</t>
        </is>
      </c>
      <c r="K144" s="37" t="n"/>
    </row>
    <row r="145" ht="22.5" customHeight="1" s="53">
      <c r="A145" s="34" t="n">
        <v>46232.65711322916</v>
      </c>
      <c r="B145" s="37" t="n">
        <v>4</v>
      </c>
      <c r="C145" s="37" t="inlineStr">
        <is>
          <t>piyushbutola07@gmail.com</t>
        </is>
      </c>
      <c r="D145" s="37" t="inlineStr">
        <is>
          <t>FOLLOWUP_2</t>
        </is>
      </c>
      <c r="E145" s="37" t="inlineStr">
        <is>
          <t>Service 1</t>
        </is>
      </c>
      <c r="F145" s="37" t="inlineStr">
        <is>
          <t>Website Development</t>
        </is>
      </c>
      <c r="G145" s="37" t="inlineStr">
        <is>
          <t>FOLLOWUP_2_SENT</t>
        </is>
      </c>
      <c r="H145" s="37" t="n"/>
      <c r="I145" s="37" t="inlineStr">
        <is>
          <t>19fad5e192b5353b</t>
        </is>
      </c>
      <c r="J145" s="37" t="inlineStr">
        <is>
          <t>SUCCESS</t>
        </is>
      </c>
      <c r="K145" s="37" t="n"/>
    </row>
    <row r="146" ht="22.5" customHeight="1" s="53">
      <c r="A146" s="34" t="n">
        <v>46232.65766896991</v>
      </c>
      <c r="B146" s="37" t="n">
        <v>1</v>
      </c>
      <c r="C146" s="37" t="inlineStr">
        <is>
          <t>divyantiwariuni4@gmail.com</t>
        </is>
      </c>
      <c r="D146" s="37" t="inlineStr">
        <is>
          <t>CAMPAIGN_NO_REPLY</t>
        </is>
      </c>
      <c r="E146" s="37" t="inlineStr">
        <is>
          <t>Service 2</t>
        </is>
      </c>
      <c r="F146" s="37" t="inlineStr">
        <is>
          <t>SEO</t>
        </is>
      </c>
      <c r="G146" s="37" t="inlineStr">
        <is>
          <t>NOT_INTERESTED_SERVICE_2</t>
        </is>
      </c>
      <c r="H146" s="37" t="n"/>
      <c r="I146" s="37" t="inlineStr">
        <is>
          <t>19fad5d23b3cba72</t>
        </is>
      </c>
      <c r="J146" s="37" t="inlineStr">
        <is>
          <t>SUCCESS</t>
        </is>
      </c>
      <c r="K146" s="37" t="n"/>
    </row>
    <row r="147" ht="22.5" customHeight="1" s="53">
      <c r="A147" s="34" t="n">
        <v>46232.65768094907</v>
      </c>
      <c r="B147" s="37" t="n">
        <v>1</v>
      </c>
      <c r="C147" s="37" t="inlineStr">
        <is>
          <t>divyantiwariuni4@gmail.com</t>
        </is>
      </c>
      <c r="D147" s="37" t="inlineStr">
        <is>
          <t>CAMPAIGN_STARTED</t>
        </is>
      </c>
      <c r="E147" s="37" t="inlineStr">
        <is>
          <t>Service 3</t>
        </is>
      </c>
      <c r="F147" s="37" t="inlineStr">
        <is>
          <t>Google Ads</t>
        </is>
      </c>
      <c r="G147" s="37" t="inlineStr">
        <is>
          <t>NEW</t>
        </is>
      </c>
      <c r="H147" s="37" t="n"/>
      <c r="I147" s="37" t="n"/>
      <c r="J147" s="37" t="inlineStr">
        <is>
          <t>SUCCESS</t>
        </is>
      </c>
      <c r="K147" s="37" t="n"/>
    </row>
    <row r="148" ht="22.5" customHeight="1" s="53">
      <c r="A148" s="34" t="n">
        <v>46232.65770935185</v>
      </c>
      <c r="B148" s="37" t="n">
        <v>4</v>
      </c>
      <c r="C148" s="37" t="inlineStr">
        <is>
          <t>piyushbutola07@gmail.com</t>
        </is>
      </c>
      <c r="D148" s="37" t="inlineStr">
        <is>
          <t>FOLLOWUP_3</t>
        </is>
      </c>
      <c r="E148" s="37" t="inlineStr">
        <is>
          <t>Service 1</t>
        </is>
      </c>
      <c r="F148" s="37" t="inlineStr">
        <is>
          <t>Website Development</t>
        </is>
      </c>
      <c r="G148" s="37" t="inlineStr">
        <is>
          <t>FOLLOWUP_3_SENT</t>
        </is>
      </c>
      <c r="H148" s="37" t="n"/>
      <c r="I148" s="37" t="inlineStr">
        <is>
          <t>19fad5e192b5353b</t>
        </is>
      </c>
      <c r="J148" s="37" t="inlineStr">
        <is>
          <t>SUCCESS</t>
        </is>
      </c>
      <c r="K148" s="37" t="n"/>
    </row>
    <row r="149" ht="22.5" customHeight="1" s="53">
      <c r="A149" s="34" t="n">
        <v>46232.65837709491</v>
      </c>
      <c r="B149" s="37" t="n">
        <v>4</v>
      </c>
      <c r="C149" s="37" t="inlineStr">
        <is>
          <t>piyushbutola07@gmail.com</t>
        </is>
      </c>
      <c r="D149" s="37" t="inlineStr">
        <is>
          <t>CAMPAIGN_NO_REPLY</t>
        </is>
      </c>
      <c r="E149" s="37" t="inlineStr">
        <is>
          <t>Service 1</t>
        </is>
      </c>
      <c r="F149" s="37" t="inlineStr">
        <is>
          <t>Website Development</t>
        </is>
      </c>
      <c r="G149" s="37" t="inlineStr">
        <is>
          <t>NOT_INTERESTED_SERVICE_1</t>
        </is>
      </c>
      <c r="H149" s="37" t="n"/>
      <c r="I149" s="37" t="inlineStr">
        <is>
          <t>19fad5e192b5353b</t>
        </is>
      </c>
      <c r="J149" s="37" t="inlineStr">
        <is>
          <t>SUCCESS</t>
        </is>
      </c>
      <c r="K149" s="37" t="n"/>
    </row>
    <row r="150" ht="22.5" customHeight="1" s="53">
      <c r="A150" s="34" t="n">
        <v>46232.65838377315</v>
      </c>
      <c r="B150" s="37" t="n">
        <v>4</v>
      </c>
      <c r="C150" s="37" t="inlineStr">
        <is>
          <t>piyushbutola07@gmail.com</t>
        </is>
      </c>
      <c r="D150" s="37" t="inlineStr">
        <is>
          <t>CAMPAIGN_STARTED</t>
        </is>
      </c>
      <c r="E150" s="37" t="inlineStr">
        <is>
          <t>Service 2</t>
        </is>
      </c>
      <c r="F150" s="37" t="inlineStr">
        <is>
          <t>SEO</t>
        </is>
      </c>
      <c r="G150" s="37" t="inlineStr">
        <is>
          <t>NEW</t>
        </is>
      </c>
      <c r="H150" s="37" t="n"/>
      <c r="I150" s="37" t="n"/>
      <c r="J150" s="37" t="inlineStr">
        <is>
          <t>SUCCESS</t>
        </is>
      </c>
      <c r="K150" s="37" t="n"/>
    </row>
    <row r="151" ht="22.5" customHeight="1" s="53">
      <c r="A151" s="34" t="n">
        <v>46232.65844547454</v>
      </c>
      <c r="B151" s="37" t="n">
        <v>1</v>
      </c>
      <c r="C151" s="37" t="inlineStr">
        <is>
          <t>divyantiwariuni4@gmail.com</t>
        </is>
      </c>
      <c r="D151" s="37" t="inlineStr">
        <is>
          <t>EMAIL_1</t>
        </is>
      </c>
      <c r="E151" s="37" t="inlineStr">
        <is>
          <t>Service 3</t>
        </is>
      </c>
      <c r="F151" s="37" t="inlineStr">
        <is>
          <t>Google Ads</t>
        </is>
      </c>
      <c r="G151" s="37" t="inlineStr">
        <is>
          <t>EMAIL_1_SENT</t>
        </is>
      </c>
      <c r="H151" s="37" t="n"/>
      <c r="I151" s="37" t="inlineStr">
        <is>
          <t>19fad61ac4a11d43</t>
        </is>
      </c>
      <c r="J151" s="37" t="inlineStr">
        <is>
          <t>SUCCESS</t>
        </is>
      </c>
      <c r="K151" s="37" t="n"/>
    </row>
    <row r="152" ht="22.5" customHeight="1" s="53">
      <c r="A152" s="34" t="n">
        <v>46232.65910515047</v>
      </c>
      <c r="B152" s="37" t="n">
        <v>1</v>
      </c>
      <c r="C152" s="37" t="inlineStr">
        <is>
          <t>divyantiwariuni4@gmail.com</t>
        </is>
      </c>
      <c r="D152" s="37" t="inlineStr">
        <is>
          <t>FOLLOWUP_1</t>
        </is>
      </c>
      <c r="E152" s="37" t="inlineStr">
        <is>
          <t>Service 3</t>
        </is>
      </c>
      <c r="F152" s="37" t="inlineStr">
        <is>
          <t>Google Ads</t>
        </is>
      </c>
      <c r="G152" s="37" t="inlineStr">
        <is>
          <t>FOLLOWUP_1_SENT</t>
        </is>
      </c>
      <c r="H152" s="37" t="n"/>
      <c r="I152" s="37" t="inlineStr">
        <is>
          <t>19fad61ac4a11d43</t>
        </is>
      </c>
      <c r="J152" s="37" t="inlineStr">
        <is>
          <t>SUCCESS</t>
        </is>
      </c>
      <c r="K152" s="37" t="n"/>
    </row>
    <row r="153" ht="22.5" customHeight="1" s="53">
      <c r="A153" s="34" t="n">
        <v>46232.65916605324</v>
      </c>
      <c r="B153" s="37" t="n">
        <v>4</v>
      </c>
      <c r="C153" s="37" t="inlineStr">
        <is>
          <t>piyushbutola07@gmail.com</t>
        </is>
      </c>
      <c r="D153" s="37" t="inlineStr">
        <is>
          <t>EMAIL_1</t>
        </is>
      </c>
      <c r="E153" s="37" t="inlineStr">
        <is>
          <t>Service 2</t>
        </is>
      </c>
      <c r="F153" s="37" t="inlineStr">
        <is>
          <t>SEO</t>
        </is>
      </c>
      <c r="G153" s="37" t="inlineStr">
        <is>
          <t>EMAIL_1_SENT</t>
        </is>
      </c>
      <c r="H153" s="37" t="n"/>
      <c r="I153" s="37" t="inlineStr">
        <is>
          <t>19fad629e681e366</t>
        </is>
      </c>
      <c r="J153" s="37" t="inlineStr">
        <is>
          <t>SUCCESS</t>
        </is>
      </c>
      <c r="K153" s="37" t="n"/>
    </row>
    <row r="154" ht="22.5" customHeight="1" s="53">
      <c r="A154" s="34" t="n">
        <v>46232.65977686342</v>
      </c>
      <c r="B154" s="37" t="n">
        <v>1</v>
      </c>
      <c r="C154" s="37" t="inlineStr">
        <is>
          <t>divyantiwariuni4@gmail.com</t>
        </is>
      </c>
      <c r="D154" s="37" t="inlineStr">
        <is>
          <t>FOLLOWUP_2</t>
        </is>
      </c>
      <c r="E154" s="37" t="inlineStr">
        <is>
          <t>Service 3</t>
        </is>
      </c>
      <c r="F154" s="37" t="inlineStr">
        <is>
          <t>Google Ads</t>
        </is>
      </c>
      <c r="G154" s="37" t="inlineStr">
        <is>
          <t>FOLLOWUP_2_SENT</t>
        </is>
      </c>
      <c r="H154" s="37" t="n"/>
      <c r="I154" s="37" t="inlineStr">
        <is>
          <t>19fad61ac4a11d43</t>
        </is>
      </c>
      <c r="J154" s="37" t="inlineStr">
        <is>
          <t>SUCCESS</t>
        </is>
      </c>
      <c r="K154" s="37" t="n"/>
    </row>
    <row r="155" ht="22.5" customHeight="1" s="53">
      <c r="A155" s="34" t="n">
        <v>46232.66052711805</v>
      </c>
      <c r="B155" s="37" t="n">
        <v>1</v>
      </c>
      <c r="C155" s="37" t="inlineStr">
        <is>
          <t>divyantiwariuni4@gmail.com</t>
        </is>
      </c>
      <c r="D155" s="37" t="inlineStr">
        <is>
          <t>FOLLOWUP_3</t>
        </is>
      </c>
      <c r="E155" s="37" t="inlineStr">
        <is>
          <t>Service 3</t>
        </is>
      </c>
      <c r="F155" s="37" t="inlineStr">
        <is>
          <t>Google Ads</t>
        </is>
      </c>
      <c r="G155" s="37" t="inlineStr">
        <is>
          <t>FOLLOWUP_3_SENT</t>
        </is>
      </c>
      <c r="H155" s="37" t="n"/>
      <c r="I155" s="37" t="inlineStr">
        <is>
          <t>19fad61ac4a11d43</t>
        </is>
      </c>
      <c r="J155" s="37" t="inlineStr">
        <is>
          <t>SUCCESS</t>
        </is>
      </c>
      <c r="K155" s="37" t="n"/>
    </row>
    <row r="156" ht="22.5" customHeight="1" s="53">
      <c r="A156" s="34" t="n">
        <v>46232.66118578704</v>
      </c>
      <c r="B156" s="37" t="n">
        <v>1</v>
      </c>
      <c r="C156" s="37" t="inlineStr">
        <is>
          <t>divyantiwariuni4@gmail.com</t>
        </is>
      </c>
      <c r="D156" s="37" t="inlineStr">
        <is>
          <t>CAMPAIGN_NO_REPLY</t>
        </is>
      </c>
      <c r="E156" s="37" t="inlineStr">
        <is>
          <t>Service 3</t>
        </is>
      </c>
      <c r="F156" s="37" t="inlineStr">
        <is>
          <t>Google Ads</t>
        </is>
      </c>
      <c r="G156" s="37" t="inlineStr">
        <is>
          <t>NOT_INTERESTED_SERVICE_3</t>
        </is>
      </c>
      <c r="H156" s="37" t="n"/>
      <c r="I156" s="37" t="inlineStr">
        <is>
          <t>19fad61ac4a11d43</t>
        </is>
      </c>
      <c r="J156" s="37" t="inlineStr">
        <is>
          <t>SUCCESS</t>
        </is>
      </c>
      <c r="K156" s="37" t="n"/>
    </row>
    <row r="157" ht="22.5" customHeight="1" s="53">
      <c r="A157" s="34" t="n">
        <v>46232.66119686342</v>
      </c>
      <c r="B157" s="37" t="n">
        <v>1</v>
      </c>
      <c r="C157" s="37" t="inlineStr">
        <is>
          <t>divyantiwariuni4@gmail.com</t>
        </is>
      </c>
      <c r="D157" s="37" t="inlineStr">
        <is>
          <t>ALL_CAMPAIGNS_COMPLETED</t>
        </is>
      </c>
      <c r="E157" s="37" t="inlineStr">
        <is>
          <t>Service 3</t>
        </is>
      </c>
      <c r="F157" s="37" t="inlineStr">
        <is>
          <t>Google Ads</t>
        </is>
      </c>
      <c r="G157" s="37" t="inlineStr">
        <is>
          <t>COMPLETED</t>
        </is>
      </c>
      <c r="H157" s="37" t="n"/>
      <c r="I157" s="37" t="inlineStr">
        <is>
          <t>19fad61ac4a11d43</t>
        </is>
      </c>
      <c r="J157" s="37" t="inlineStr">
        <is>
          <t>SUCCESS</t>
        </is>
      </c>
      <c r="K157" s="37" t="n"/>
    </row>
    <row r="158" ht="22.5" customHeight="1" s="53">
      <c r="A158" s="34" t="n">
        <v>46232.66467417824</v>
      </c>
      <c r="B158" s="37" t="n">
        <v>1</v>
      </c>
      <c r="C158" s="37" t="inlineStr">
        <is>
          <t>divyantiwariuni4@gmail.com</t>
        </is>
      </c>
      <c r="D158" s="37" t="inlineStr">
        <is>
          <t>EMAIL_1</t>
        </is>
      </c>
      <c r="E158" s="37" t="inlineStr">
        <is>
          <t>Service 1</t>
        </is>
      </c>
      <c r="F158" s="37" t="inlineStr">
        <is>
          <t>Website Development</t>
        </is>
      </c>
      <c r="G158" s="37" t="inlineStr">
        <is>
          <t>EMAIL_1_SENT</t>
        </is>
      </c>
      <c r="H158" s="37" t="n"/>
      <c r="I158" s="37" t="inlineStr">
        <is>
          <t>19fad69e2f0920dd</t>
        </is>
      </c>
      <c r="J158" s="37" t="inlineStr">
        <is>
          <t>SUCCESS</t>
        </is>
      </c>
      <c r="K158" s="37" t="n"/>
    </row>
    <row r="159" ht="22.5" customHeight="1" s="53">
      <c r="A159" s="34" t="n">
        <v>46232.66771398148</v>
      </c>
      <c r="B159" s="37" t="n">
        <v>1</v>
      </c>
      <c r="C159" s="37" t="inlineStr">
        <is>
          <t>divyantiwariuni4@gmail.com</t>
        </is>
      </c>
      <c r="D159" s="37" t="inlineStr">
        <is>
          <t>EMAIL_1</t>
        </is>
      </c>
      <c r="E159" s="37" t="inlineStr">
        <is>
          <t>Service 1</t>
        </is>
      </c>
      <c r="F159" s="37" t="inlineStr">
        <is>
          <t>Website Development</t>
        </is>
      </c>
      <c r="G159" s="37" t="inlineStr">
        <is>
          <t>EMAIL_1_SENT</t>
        </is>
      </c>
      <c r="H159" s="37" t="n"/>
      <c r="I159" s="37" t="inlineStr">
        <is>
          <t>19fad6de2a8901a5</t>
        </is>
      </c>
      <c r="J159" s="37" t="inlineStr">
        <is>
          <t>SUCCESS</t>
        </is>
      </c>
      <c r="K159" s="37" t="n"/>
    </row>
    <row r="160" ht="22.5" customHeight="1" s="53">
      <c r="A160" s="34" t="n">
        <v>46232.66825042824</v>
      </c>
      <c r="B160" s="37" t="n">
        <v>1</v>
      </c>
      <c r="C160" s="37" t="inlineStr">
        <is>
          <t>divyantiwariuni4@gmail.com</t>
        </is>
      </c>
      <c r="D160" s="37" t="inlineStr">
        <is>
          <t>FOLLOWUP_1</t>
        </is>
      </c>
      <c r="E160" s="37" t="inlineStr">
        <is>
          <t>Service 1</t>
        </is>
      </c>
      <c r="F160" s="37" t="inlineStr">
        <is>
          <t>Website Development</t>
        </is>
      </c>
      <c r="G160" s="37" t="inlineStr">
        <is>
          <t>FOLLOWUP_1_SENT</t>
        </is>
      </c>
      <c r="H160" s="37" t="n"/>
      <c r="I160" s="37" t="inlineStr">
        <is>
          <t>19fad6de2a8901a5</t>
        </is>
      </c>
      <c r="J160" s="37" t="inlineStr">
        <is>
          <t>SUCCESS</t>
        </is>
      </c>
      <c r="K160" s="37" t="n"/>
    </row>
    <row r="161" ht="22.5" customHeight="1" s="53">
      <c r="A161" s="34" t="n">
        <v>46232.66883</v>
      </c>
      <c r="B161" s="37" t="n">
        <v>1</v>
      </c>
      <c r="C161" s="37" t="inlineStr">
        <is>
          <t>divyantiwariuni4@gmail.com</t>
        </is>
      </c>
      <c r="D161" s="37" t="inlineStr">
        <is>
          <t>FOLLOWUP_2</t>
        </is>
      </c>
      <c r="E161" s="37" t="inlineStr">
        <is>
          <t>Service 1</t>
        </is>
      </c>
      <c r="F161" s="37" t="inlineStr">
        <is>
          <t>Website Development</t>
        </is>
      </c>
      <c r="G161" s="37" t="inlineStr">
        <is>
          <t>FOLLOWUP_2_SENT</t>
        </is>
      </c>
      <c r="H161" s="37" t="n"/>
      <c r="I161" s="37" t="inlineStr">
        <is>
          <t>19fad6de2a8901a5</t>
        </is>
      </c>
      <c r="J161" s="37" t="inlineStr">
        <is>
          <t>SUCCESS</t>
        </is>
      </c>
      <c r="K161" s="37" t="n"/>
    </row>
    <row r="162" ht="22.5" customHeight="1" s="53">
      <c r="A162" s="34" t="n">
        <v>46232.66947767361</v>
      </c>
      <c r="B162" s="37" t="n">
        <v>1</v>
      </c>
      <c r="C162" s="37" t="inlineStr">
        <is>
          <t>divyantiwariuni4@gmail.com</t>
        </is>
      </c>
      <c r="D162" s="37" t="inlineStr">
        <is>
          <t>FOLLOWUP_3</t>
        </is>
      </c>
      <c r="E162" s="37" t="inlineStr">
        <is>
          <t>Service 1</t>
        </is>
      </c>
      <c r="F162" s="37" t="inlineStr">
        <is>
          <t>Website Development</t>
        </is>
      </c>
      <c r="G162" s="37" t="inlineStr">
        <is>
          <t>FOLLOWUP_3_SENT</t>
        </is>
      </c>
      <c r="H162" s="37" t="n"/>
      <c r="I162" s="37" t="inlineStr">
        <is>
          <t>19fad6de2a8901a5</t>
        </is>
      </c>
      <c r="J162" s="37" t="inlineStr">
        <is>
          <t>SUCCESS</t>
        </is>
      </c>
      <c r="K162" s="37" t="n"/>
    </row>
    <row r="163" ht="22.5" customHeight="1" s="53">
      <c r="A163" s="34" t="n">
        <v>46232.67023045139</v>
      </c>
      <c r="B163" s="37" t="n">
        <v>1</v>
      </c>
      <c r="C163" s="37" t="inlineStr">
        <is>
          <t>divyantiwariuni4@gmail.com</t>
        </is>
      </c>
      <c r="D163" s="37" t="inlineStr">
        <is>
          <t>CAMPAIGN_NO_REPLY</t>
        </is>
      </c>
      <c r="E163" s="37" t="inlineStr">
        <is>
          <t>Service 1</t>
        </is>
      </c>
      <c r="F163" s="37" t="inlineStr">
        <is>
          <t>Website Development</t>
        </is>
      </c>
      <c r="G163" s="37" t="inlineStr">
        <is>
          <t>NOT_INTERESTED_SERVICE_1</t>
        </is>
      </c>
      <c r="H163" s="37" t="n"/>
      <c r="I163" s="37" t="inlineStr">
        <is>
          <t>19fad6de2a8901a5</t>
        </is>
      </c>
      <c r="J163" s="37" t="inlineStr">
        <is>
          <t>SUCCESS</t>
        </is>
      </c>
      <c r="K163" s="37" t="n"/>
    </row>
    <row r="164" ht="22.5" customHeight="1" s="53">
      <c r="A164" s="34" t="n">
        <v>46232.67024017361</v>
      </c>
      <c r="B164" s="37" t="n">
        <v>1</v>
      </c>
      <c r="C164" s="37" t="inlineStr">
        <is>
          <t>divyantiwariuni4@gmail.com</t>
        </is>
      </c>
      <c r="D164" s="37" t="inlineStr">
        <is>
          <t>CAMPAIGN_STARTED</t>
        </is>
      </c>
      <c r="E164" s="37" t="inlineStr">
        <is>
          <t>Service 2</t>
        </is>
      </c>
      <c r="F164" s="37" t="inlineStr">
        <is>
          <t>SEO</t>
        </is>
      </c>
      <c r="G164" s="37" t="inlineStr">
        <is>
          <t>NEW</t>
        </is>
      </c>
      <c r="H164" s="37" t="n"/>
      <c r="I164" s="37" t="n"/>
      <c r="J164" s="37" t="inlineStr">
        <is>
          <t>SUCCESS</t>
        </is>
      </c>
      <c r="K164" s="37" t="n"/>
    </row>
    <row r="165" ht="22.5" customHeight="1" s="53">
      <c r="A165" s="34" t="n">
        <v>46232.67103207176</v>
      </c>
      <c r="B165" s="37" t="n">
        <v>1</v>
      </c>
      <c r="C165" s="37" t="inlineStr">
        <is>
          <t>divyantiwariuni4@gmail.com</t>
        </is>
      </c>
      <c r="D165" s="37" t="inlineStr">
        <is>
          <t>EMAIL_1</t>
        </is>
      </c>
      <c r="E165" s="37" t="inlineStr">
        <is>
          <t>Service 2</t>
        </is>
      </c>
      <c r="F165" s="37" t="inlineStr">
        <is>
          <t>SEO</t>
        </is>
      </c>
      <c r="G165" s="37" t="inlineStr">
        <is>
          <t>EMAIL_1_SENT</t>
        </is>
      </c>
      <c r="H165" s="37" t="n"/>
      <c r="I165" s="37" t="inlineStr">
        <is>
          <t>19fad7242ed6572d</t>
        </is>
      </c>
      <c r="J165" s="37" t="inlineStr">
        <is>
          <t>SUCCESS</t>
        </is>
      </c>
      <c r="K165" s="37" t="n"/>
    </row>
    <row r="166" ht="22.5" customHeight="1" s="53">
      <c r="A166" s="34" t="n">
        <v>46232.67160476852</v>
      </c>
      <c r="B166" s="37" t="n">
        <v>1</v>
      </c>
      <c r="C166" s="37" t="inlineStr">
        <is>
          <t>divyantiwariuni4@gmail.com</t>
        </is>
      </c>
      <c r="D166" s="37" t="inlineStr">
        <is>
          <t>FOLLOWUP_1</t>
        </is>
      </c>
      <c r="E166" s="37" t="inlineStr">
        <is>
          <t>Service 2</t>
        </is>
      </c>
      <c r="F166" s="37" t="inlineStr">
        <is>
          <t>SEO</t>
        </is>
      </c>
      <c r="G166" s="37" t="inlineStr">
        <is>
          <t>FOLLOWUP_1_SENT</t>
        </is>
      </c>
      <c r="H166" s="37" t="n"/>
      <c r="I166" s="37" t="inlineStr">
        <is>
          <t>19fad7242ed6572d</t>
        </is>
      </c>
      <c r="J166" s="37" t="inlineStr">
        <is>
          <t>SUCCESS</t>
        </is>
      </c>
      <c r="K166" s="37" t="n"/>
    </row>
    <row r="167" ht="22.5" customHeight="1" s="53">
      <c r="A167" s="34" t="n">
        <v>46232.67226118055</v>
      </c>
      <c r="B167" s="37" t="n">
        <v>1</v>
      </c>
      <c r="C167" s="37" t="inlineStr">
        <is>
          <t>divyantiwariuni4@gmail.com</t>
        </is>
      </c>
      <c r="D167" s="37" t="inlineStr">
        <is>
          <t>FOLLOWUP_2</t>
        </is>
      </c>
      <c r="E167" s="37" t="inlineStr">
        <is>
          <t>Service 2</t>
        </is>
      </c>
      <c r="F167" s="37" t="inlineStr">
        <is>
          <t>SEO</t>
        </is>
      </c>
      <c r="G167" s="37" t="inlineStr">
        <is>
          <t>FOLLOWUP_2_SENT</t>
        </is>
      </c>
      <c r="H167" s="37" t="n"/>
      <c r="I167" s="37" t="inlineStr">
        <is>
          <t>19fad7242ed6572d</t>
        </is>
      </c>
      <c r="J167" s="37" t="inlineStr">
        <is>
          <t>SUCCESS</t>
        </is>
      </c>
      <c r="K167" s="37" t="n"/>
    </row>
    <row r="168" ht="22.5" customHeight="1" s="53">
      <c r="A168" s="34" t="n">
        <v>46232.67299302083</v>
      </c>
      <c r="B168" s="37" t="n">
        <v>1</v>
      </c>
      <c r="C168" s="37" t="inlineStr">
        <is>
          <t>divyantiwariuni4@gmail.com</t>
        </is>
      </c>
      <c r="D168" s="37" t="inlineStr">
        <is>
          <t>FOLLOWUP_3</t>
        </is>
      </c>
      <c r="E168" s="37" t="inlineStr">
        <is>
          <t>Service 2</t>
        </is>
      </c>
      <c r="F168" s="37" t="inlineStr">
        <is>
          <t>SEO</t>
        </is>
      </c>
      <c r="G168" s="37" t="inlineStr">
        <is>
          <t>FOLLOWUP_3_SENT</t>
        </is>
      </c>
      <c r="H168" s="37" t="n"/>
      <c r="I168" s="37" t="inlineStr">
        <is>
          <t>19fad7242ed6572d</t>
        </is>
      </c>
      <c r="J168" s="37" t="inlineStr">
        <is>
          <t>SUCCESS</t>
        </is>
      </c>
      <c r="K168" s="37" t="n"/>
    </row>
    <row r="169" ht="22.5" customHeight="1" s="53">
      <c r="A169" s="34" t="n">
        <v>46232.67382122685</v>
      </c>
      <c r="B169" s="37" t="n">
        <v>1</v>
      </c>
      <c r="C169" s="37" t="inlineStr">
        <is>
          <t>divyantiwariuni4@gmail.com</t>
        </is>
      </c>
      <c r="D169" s="37" t="inlineStr">
        <is>
          <t>CAMPAIGN_NO_REPLY</t>
        </is>
      </c>
      <c r="E169" s="37" t="inlineStr">
        <is>
          <t>Service 2</t>
        </is>
      </c>
      <c r="F169" s="37" t="inlineStr">
        <is>
          <t>SEO</t>
        </is>
      </c>
      <c r="G169" s="37" t="inlineStr">
        <is>
          <t>NOT_INTERESTED_SERVICE_2</t>
        </is>
      </c>
      <c r="H169" s="37" t="n"/>
      <c r="I169" s="37" t="inlineStr">
        <is>
          <t>19fad7242ed6572d</t>
        </is>
      </c>
      <c r="J169" s="37" t="inlineStr">
        <is>
          <t>SUCCESS</t>
        </is>
      </c>
      <c r="K169" s="37" t="n"/>
    </row>
    <row r="170" ht="22.5" customHeight="1" s="53">
      <c r="A170" s="34" t="n">
        <v>46232.67384578704</v>
      </c>
      <c r="B170" s="37" t="n">
        <v>1</v>
      </c>
      <c r="C170" s="37" t="inlineStr">
        <is>
          <t>divyantiwariuni4@gmail.com</t>
        </is>
      </c>
      <c r="D170" s="37" t="inlineStr">
        <is>
          <t>CAMPAIGN_STARTED</t>
        </is>
      </c>
      <c r="E170" s="37" t="inlineStr">
        <is>
          <t>Service 3</t>
        </is>
      </c>
      <c r="F170" s="37" t="inlineStr">
        <is>
          <t>Google Ads</t>
        </is>
      </c>
      <c r="G170" s="37" t="inlineStr">
        <is>
          <t>NEW</t>
        </is>
      </c>
      <c r="H170" s="37" t="n"/>
      <c r="I170" s="37" t="n"/>
      <c r="J170" s="37" t="inlineStr">
        <is>
          <t>SUCCESS</t>
        </is>
      </c>
      <c r="K170" s="37" t="n"/>
    </row>
    <row r="171" ht="22.5" customHeight="1" s="53">
      <c r="A171" s="34" t="n">
        <v>46232.67445818287</v>
      </c>
      <c r="B171" s="37" t="n">
        <v>1</v>
      </c>
      <c r="C171" s="37" t="inlineStr">
        <is>
          <t>divyantiwariuni4@gmail.com</t>
        </is>
      </c>
      <c r="D171" s="37" t="inlineStr">
        <is>
          <t>EMAIL_1</t>
        </is>
      </c>
      <c r="E171" s="37" t="inlineStr">
        <is>
          <t>Service 3</t>
        </is>
      </c>
      <c r="F171" s="37" t="inlineStr">
        <is>
          <t>Google Ads</t>
        </is>
      </c>
      <c r="G171" s="37" t="inlineStr">
        <is>
          <t>EMAIL_1_SENT</t>
        </is>
      </c>
      <c r="H171" s="37" t="n"/>
      <c r="I171" s="37" t="inlineStr">
        <is>
          <t>19fad76c9efde06a</t>
        </is>
      </c>
      <c r="J171" s="37" t="inlineStr">
        <is>
          <t>SUCCESS</t>
        </is>
      </c>
      <c r="K171" s="37" t="n"/>
    </row>
    <row r="172" ht="22.5" customHeight="1" s="53">
      <c r="A172" s="34" t="n">
        <v>46232.67523273148</v>
      </c>
      <c r="B172" s="37" t="n">
        <v>1</v>
      </c>
      <c r="C172" s="37" t="inlineStr">
        <is>
          <t>divyantiwariuni4@gmail.com</t>
        </is>
      </c>
      <c r="D172" s="37" t="inlineStr">
        <is>
          <t>FOLLOWUP_1</t>
        </is>
      </c>
      <c r="E172" s="37" t="inlineStr">
        <is>
          <t>Service 3</t>
        </is>
      </c>
      <c r="F172" s="37" t="inlineStr">
        <is>
          <t>Google Ads</t>
        </is>
      </c>
      <c r="G172" s="37" t="inlineStr">
        <is>
          <t>FOLLOWUP_1_SENT</t>
        </is>
      </c>
      <c r="H172" s="37" t="n"/>
      <c r="I172" s="37" t="inlineStr">
        <is>
          <t>19fad76c9efde06a</t>
        </is>
      </c>
      <c r="J172" s="37" t="inlineStr">
        <is>
          <t>SUCCESS</t>
        </is>
      </c>
      <c r="K172" s="37" t="n"/>
    </row>
    <row r="173" ht="22.5" customHeight="1" s="53">
      <c r="A173" s="34" t="n">
        <v>46232.68079770833</v>
      </c>
      <c r="B173" s="37" t="n">
        <v>4</v>
      </c>
      <c r="C173" s="37" t="inlineStr">
        <is>
          <t>piyushbutola07@gmail.com</t>
        </is>
      </c>
      <c r="D173" s="37" t="inlineStr">
        <is>
          <t>EMAIL_1</t>
        </is>
      </c>
      <c r="E173" s="37" t="inlineStr">
        <is>
          <t>Service 1</t>
        </is>
      </c>
      <c r="F173" s="37" t="inlineStr">
        <is>
          <t>Website Development</t>
        </is>
      </c>
      <c r="G173" s="37" t="inlineStr">
        <is>
          <t>EMAIL_1_SENT</t>
        </is>
      </c>
      <c r="H173" s="37" t="n"/>
      <c r="I173" s="37" t="inlineStr">
        <is>
          <t>19fad7f25a3d83c3</t>
        </is>
      </c>
      <c r="J173" s="37" t="inlineStr">
        <is>
          <t>SUCCESS</t>
        </is>
      </c>
      <c r="K173" s="37" t="n"/>
    </row>
    <row r="174" ht="22.5" customHeight="1" s="53">
      <c r="A174" s="34" t="n">
        <v>46232.69447457176</v>
      </c>
      <c r="B174" s="37" t="n">
        <v>4</v>
      </c>
      <c r="C174" s="37" t="inlineStr">
        <is>
          <t>piyushbutola07@gmail.com</t>
        </is>
      </c>
      <c r="D174" s="37" t="inlineStr">
        <is>
          <t>FOLLOWUP_1</t>
        </is>
      </c>
      <c r="E174" s="37" t="inlineStr">
        <is>
          <t>Service 1</t>
        </is>
      </c>
      <c r="F174" s="37" t="inlineStr">
        <is>
          <t>Website Development</t>
        </is>
      </c>
      <c r="G174" s="37" t="inlineStr">
        <is>
          <t>FOLLOWUP_1_SENT</t>
        </is>
      </c>
      <c r="H174" s="37" t="n"/>
      <c r="I174" s="37" t="inlineStr">
        <is>
          <t>19fad7f25a3d83c3</t>
        </is>
      </c>
      <c r="J174" s="37" t="inlineStr">
        <is>
          <t>SUCCESS</t>
        </is>
      </c>
      <c r="K174" s="37" t="n"/>
    </row>
    <row r="175" ht="22.5" customHeight="1" s="53">
      <c r="A175" s="34" t="n">
        <v>46232.69453748842</v>
      </c>
      <c r="B175" s="37" t="n">
        <v>1</v>
      </c>
      <c r="C175" s="37" t="inlineStr">
        <is>
          <t>divyantiwariuni4@gmail.com</t>
        </is>
      </c>
      <c r="D175" s="37" t="inlineStr">
        <is>
          <t>EMAIL_1</t>
        </is>
      </c>
      <c r="E175" s="37" t="inlineStr">
        <is>
          <t>Service 1</t>
        </is>
      </c>
      <c r="F175" s="37" t="inlineStr">
        <is>
          <t>Website Development</t>
        </is>
      </c>
      <c r="G175" s="37" t="inlineStr">
        <is>
          <t>EMAIL_1_SENT</t>
        </is>
      </c>
      <c r="H175" s="37" t="n"/>
      <c r="I175" s="37" t="inlineStr">
        <is>
          <t>19fad91416bbe0f7</t>
        </is>
      </c>
      <c r="J175" s="37" t="inlineStr">
        <is>
          <t>SUCCESS</t>
        </is>
      </c>
      <c r="K175" s="37" t="n"/>
    </row>
    <row r="176" ht="22.5" customHeight="1" s="53">
      <c r="A176" s="34" t="n">
        <v>46232.69936545139</v>
      </c>
      <c r="B176" s="37" t="n">
        <v>1</v>
      </c>
      <c r="C176" s="37" t="inlineStr">
        <is>
          <t>divyantiwariuni4@gmail.com</t>
        </is>
      </c>
      <c r="D176" s="37" t="inlineStr">
        <is>
          <t>FOLLOWUP_1</t>
        </is>
      </c>
      <c r="E176" s="37" t="inlineStr">
        <is>
          <t>Service 1</t>
        </is>
      </c>
      <c r="F176" s="37" t="inlineStr">
        <is>
          <t>Website Development</t>
        </is>
      </c>
      <c r="G176" s="37" t="inlineStr">
        <is>
          <t>FOLLOWUP_1_SENT</t>
        </is>
      </c>
      <c r="H176" s="37" t="n"/>
      <c r="I176" s="37" t="inlineStr">
        <is>
          <t>19fad91416bbe0f7</t>
        </is>
      </c>
      <c r="J176" s="37" t="inlineStr">
        <is>
          <t>SUCCESS</t>
        </is>
      </c>
      <c r="K176" s="37" t="n"/>
    </row>
    <row r="177" ht="22.5" customHeight="1" s="53">
      <c r="A177" s="34" t="n">
        <v>46232.74826604166</v>
      </c>
      <c r="B177" s="37" t="n">
        <v>2</v>
      </c>
      <c r="C177" s="37" t="inlineStr">
        <is>
          <t>aryandivyan@gmail.com</t>
        </is>
      </c>
      <c r="D177" s="37" t="inlineStr">
        <is>
          <t>EMAIL_1</t>
        </is>
      </c>
      <c r="E177" s="37" t="inlineStr">
        <is>
          <t>Service 1</t>
        </is>
      </c>
      <c r="F177" s="37" t="inlineStr">
        <is>
          <t>Website Development</t>
        </is>
      </c>
      <c r="G177" s="37" t="inlineStr">
        <is>
          <t>EMAIL_1_SENT</t>
        </is>
      </c>
      <c r="H177" s="37" t="n"/>
      <c r="I177" s="37" t="inlineStr">
        <is>
          <t>19fadd817ca546a1</t>
        </is>
      </c>
      <c r="J177" s="37" t="inlineStr">
        <is>
          <t>SUCCESS</t>
        </is>
      </c>
      <c r="K177" s="37" t="n"/>
    </row>
    <row r="178" ht="22.5" customHeight="1" s="53">
      <c r="A178" s="34" t="n">
        <v>46232.75593196759</v>
      </c>
      <c r="B178" s="37" t="n">
        <v>5</v>
      </c>
      <c r="C178" s="37" t="inlineStr">
        <is>
          <t>kartikdynamiser@gmail.com</t>
        </is>
      </c>
      <c r="D178" s="37" t="inlineStr">
        <is>
          <t>EMAIL_1</t>
        </is>
      </c>
      <c r="E178" s="37" t="inlineStr">
        <is>
          <t>Service 1</t>
        </is>
      </c>
      <c r="F178" s="37" t="inlineStr">
        <is>
          <t>Website Development</t>
        </is>
      </c>
      <c r="G178" s="37" t="inlineStr">
        <is>
          <t>EMAIL_1_SENT</t>
        </is>
      </c>
      <c r="H178" s="37" t="n"/>
      <c r="I178" s="37" t="inlineStr">
        <is>
          <t>19fade23392424cb</t>
        </is>
      </c>
      <c r="J178" s="37" t="inlineStr">
        <is>
          <t>SUCCESS</t>
        </is>
      </c>
      <c r="K178" s="37" t="n"/>
    </row>
    <row r="179" ht="22.5" customHeight="1" s="53">
      <c r="A179" s="34" t="n">
        <v>46232.7569618287</v>
      </c>
      <c r="B179" s="37" t="n">
        <v>5</v>
      </c>
      <c r="C179" s="37" t="inlineStr">
        <is>
          <t>kartikdynamisers@gmail.com</t>
        </is>
      </c>
      <c r="D179" s="37" t="inlineStr">
        <is>
          <t>EMAIL_1</t>
        </is>
      </c>
      <c r="E179" s="37" t="inlineStr">
        <is>
          <t>Service 1</t>
        </is>
      </c>
      <c r="F179" s="37" t="inlineStr">
        <is>
          <t>Website Development</t>
        </is>
      </c>
      <c r="G179" s="37" t="inlineStr">
        <is>
          <t>EMAIL_1_SENT</t>
        </is>
      </c>
      <c r="H179" s="37" t="n"/>
      <c r="I179" s="37" t="inlineStr">
        <is>
          <t>19fade38d0fc5e11</t>
        </is>
      </c>
      <c r="J179" s="37" t="inlineStr">
        <is>
          <t>SUCCESS</t>
        </is>
      </c>
      <c r="K179" s="37" t="n"/>
    </row>
    <row r="180" ht="22.5" customHeight="1" s="53">
      <c r="A180" s="34" t="n">
        <v>46232.92062253472</v>
      </c>
      <c r="B180" s="37" t="n">
        <v>2</v>
      </c>
      <c r="C180" s="37" t="inlineStr">
        <is>
          <t>aryandivyan@gmail.com</t>
        </is>
      </c>
      <c r="D180" s="37" t="inlineStr">
        <is>
          <t>EMAIL_1</t>
        </is>
      </c>
      <c r="E180" s="37" t="inlineStr">
        <is>
          <t>Service 2</t>
        </is>
      </c>
      <c r="F180" s="37" t="inlineStr">
        <is>
          <t>SEO</t>
        </is>
      </c>
      <c r="G180" s="37" t="inlineStr">
        <is>
          <t>EMAIL_1_SENT</t>
        </is>
      </c>
      <c r="H180" s="37" t="n"/>
      <c r="I180" s="37" t="inlineStr">
        <is>
          <t>19faebb512d191e4</t>
        </is>
      </c>
      <c r="J180" s="37" t="inlineStr">
        <is>
          <t>SUCCESS</t>
        </is>
      </c>
      <c r="K180" s="37" t="n"/>
    </row>
    <row r="181" ht="22.5" customHeight="1" s="53">
      <c r="A181" s="34" t="n">
        <v>46232.92183949074</v>
      </c>
      <c r="B181" s="37" t="n">
        <v>2</v>
      </c>
      <c r="C181" s="37" t="inlineStr">
        <is>
          <t>aryandivyan@gmail.com</t>
        </is>
      </c>
      <c r="D181" s="37" t="inlineStr">
        <is>
          <t>FOLLOWUP_1</t>
        </is>
      </c>
      <c r="E181" s="37" t="inlineStr">
        <is>
          <t>Service 2</t>
        </is>
      </c>
      <c r="F181" s="37" t="inlineStr">
        <is>
          <t>SEO</t>
        </is>
      </c>
      <c r="G181" s="37" t="inlineStr">
        <is>
          <t>FOLLOWUP_1_SENT</t>
        </is>
      </c>
      <c r="H181" s="37" t="n"/>
      <c r="I181" s="37" t="inlineStr">
        <is>
          <t>19faebb512d191e4</t>
        </is>
      </c>
      <c r="J181" s="37" t="inlineStr">
        <is>
          <t>SUCCESS</t>
        </is>
      </c>
      <c r="K181" s="37" t="n"/>
    </row>
    <row r="182" ht="22.5" customHeight="1" s="53">
      <c r="A182" s="34" t="n">
        <v>46232.92252758102</v>
      </c>
      <c r="B182" s="37" t="n">
        <v>2</v>
      </c>
      <c r="C182" s="37" t="inlineStr">
        <is>
          <t>aryandivyan@gmail.com</t>
        </is>
      </c>
      <c r="D182" s="37" t="inlineStr">
        <is>
          <t>FOLLOWUP_2</t>
        </is>
      </c>
      <c r="E182" s="37" t="inlineStr">
        <is>
          <t>Service 2</t>
        </is>
      </c>
      <c r="F182" s="37" t="inlineStr">
        <is>
          <t>SEO</t>
        </is>
      </c>
      <c r="G182" s="37" t="inlineStr">
        <is>
          <t>FOLLOWUP_2_SENT</t>
        </is>
      </c>
      <c r="H182" s="37" t="n"/>
      <c r="I182" s="37" t="inlineStr">
        <is>
          <t>19faebb512d191e4</t>
        </is>
      </c>
      <c r="J182" s="37" t="inlineStr">
        <is>
          <t>SUCCESS</t>
        </is>
      </c>
      <c r="K182" s="37" t="n"/>
    </row>
    <row r="183" ht="22.5" customHeight="1" s="53">
      <c r="A183" s="34" t="n">
        <v>46232.92263675926</v>
      </c>
      <c r="B183" s="37" t="n">
        <v>2</v>
      </c>
      <c r="C183" s="37" t="inlineStr">
        <is>
          <t>aryandivyan@gmail.com</t>
        </is>
      </c>
      <c r="D183" s="37" t="inlineStr">
        <is>
          <t>FOLLOWUP_3</t>
        </is>
      </c>
      <c r="E183" s="37" t="inlineStr">
        <is>
          <t>Service 2</t>
        </is>
      </c>
      <c r="F183" s="37" t="inlineStr">
        <is>
          <t>SEO</t>
        </is>
      </c>
      <c r="G183" s="37" t="inlineStr">
        <is>
          <t>FOLLOWUP_3_SENT</t>
        </is>
      </c>
      <c r="H183" s="37" t="n"/>
      <c r="I183" s="37" t="inlineStr">
        <is>
          <t>19faebb512d191e4</t>
        </is>
      </c>
      <c r="J183" s="37" t="inlineStr">
        <is>
          <t>SUCCESS</t>
        </is>
      </c>
      <c r="K183" s="37" t="n"/>
    </row>
    <row r="184" ht="22.5" customHeight="1" s="53">
      <c r="A184" s="34" t="n">
        <v>46233.53949517361</v>
      </c>
      <c r="B184" s="37" t="n">
        <v>1</v>
      </c>
      <c r="C184" s="37" t="inlineStr">
        <is>
          <t>divyantiwariuni4@gmail.com</t>
        </is>
      </c>
      <c r="D184" s="37" t="inlineStr">
        <is>
          <t>EMAIL_1</t>
        </is>
      </c>
      <c r="E184" s="37" t="inlineStr">
        <is>
          <t>Service 1</t>
        </is>
      </c>
      <c r="F184" s="37" t="inlineStr">
        <is>
          <t>Website Development</t>
        </is>
      </c>
      <c r="G184" s="37" t="inlineStr">
        <is>
          <t>EMAIL_1_SENT</t>
        </is>
      </c>
      <c r="H184" s="37" t="n"/>
      <c r="I184" s="37" t="inlineStr">
        <is>
          <t>19fb1eb346dc6cc0</t>
        </is>
      </c>
      <c r="J184" s="37" t="inlineStr">
        <is>
          <t>SUCCESS</t>
        </is>
      </c>
      <c r="K184" s="37" t="n"/>
    </row>
    <row r="185" ht="22.5" customHeight="1" s="53">
      <c r="A185" s="34" t="n">
        <v>46233.54004807871</v>
      </c>
      <c r="B185" s="37" t="n">
        <v>1</v>
      </c>
      <c r="C185" s="37" t="inlineStr">
        <is>
          <t>divyantiwariuni4@gmail.com</t>
        </is>
      </c>
      <c r="D185" s="37" t="inlineStr">
        <is>
          <t>FOLLOWUP_1</t>
        </is>
      </c>
      <c r="E185" s="37" t="inlineStr">
        <is>
          <t>Service 1</t>
        </is>
      </c>
      <c r="F185" s="37" t="inlineStr">
        <is>
          <t>Website Development</t>
        </is>
      </c>
      <c r="G185" s="37" t="inlineStr">
        <is>
          <t>FOLLOWUP_1_SENT</t>
        </is>
      </c>
      <c r="H185" s="37" t="n"/>
      <c r="I185" s="37" t="inlineStr">
        <is>
          <t>19fb1eb346dc6cc0</t>
        </is>
      </c>
      <c r="J185" s="37" t="inlineStr">
        <is>
          <t>SUCCESS</t>
        </is>
      </c>
      <c r="K185" s="37" t="n"/>
    </row>
    <row r="186" ht="22.5" customHeight="1" s="53">
      <c r="A186" s="34" t="n">
        <v>46233.54072754629</v>
      </c>
      <c r="B186" s="37" t="n">
        <v>1</v>
      </c>
      <c r="C186" s="37" t="inlineStr">
        <is>
          <t>divyantiwariuni4@gmail.com</t>
        </is>
      </c>
      <c r="D186" s="37" t="inlineStr">
        <is>
          <t>FOLLOWUP_2</t>
        </is>
      </c>
      <c r="E186" s="37" t="inlineStr">
        <is>
          <t>Service 1</t>
        </is>
      </c>
      <c r="F186" s="37" t="inlineStr">
        <is>
          <t>Website Development</t>
        </is>
      </c>
      <c r="G186" s="37" t="inlineStr">
        <is>
          <t>FOLLOWUP_2_SENT</t>
        </is>
      </c>
      <c r="H186" s="37" t="n"/>
      <c r="I186" s="37" t="inlineStr">
        <is>
          <t>19fb1eb346dc6cc0</t>
        </is>
      </c>
      <c r="J186" s="37" t="inlineStr">
        <is>
          <t>SUCCESS</t>
        </is>
      </c>
      <c r="K186" s="37" t="n"/>
    </row>
    <row r="187" ht="22.5" customHeight="1" s="53">
      <c r="A187" s="34" t="n">
        <v>46233.54141615741</v>
      </c>
      <c r="B187" s="37" t="n">
        <v>1</v>
      </c>
      <c r="C187" s="37" t="inlineStr">
        <is>
          <t>divyantiwariuni4@gmail.com</t>
        </is>
      </c>
      <c r="D187" s="37" t="inlineStr">
        <is>
          <t>FOLLOWUP_3</t>
        </is>
      </c>
      <c r="E187" s="37" t="inlineStr">
        <is>
          <t>Service 1</t>
        </is>
      </c>
      <c r="F187" s="37" t="inlineStr">
        <is>
          <t>Website Development</t>
        </is>
      </c>
      <c r="G187" s="37" t="inlineStr">
        <is>
          <t>FOLLOWUP_3_SENT</t>
        </is>
      </c>
      <c r="H187" s="37" t="n"/>
      <c r="I187" s="37" t="inlineStr">
        <is>
          <t>19fb1eb346dc6cc0</t>
        </is>
      </c>
      <c r="J187" s="37" t="inlineStr">
        <is>
          <t>SUCCESS</t>
        </is>
      </c>
      <c r="K187" s="37" t="n"/>
    </row>
    <row r="188" ht="22.5" customHeight="1" s="53">
      <c r="A188" s="34" t="n">
        <v>46233.54208723379</v>
      </c>
      <c r="B188" s="37" t="n">
        <v>1</v>
      </c>
      <c r="C188" s="37" t="inlineStr">
        <is>
          <t>divyantiwariuni4@gmail.com</t>
        </is>
      </c>
      <c r="D188" s="37" t="inlineStr">
        <is>
          <t>CAMPAIGN_NO_REPLY</t>
        </is>
      </c>
      <c r="E188" s="37" t="inlineStr">
        <is>
          <t>Service 1</t>
        </is>
      </c>
      <c r="F188" s="37" t="inlineStr">
        <is>
          <t>Website Development</t>
        </is>
      </c>
      <c r="G188" s="37" t="inlineStr">
        <is>
          <t>NOT_INTERESTED_SERVICE_1</t>
        </is>
      </c>
      <c r="H188" s="37" t="n"/>
      <c r="I188" s="37" t="inlineStr">
        <is>
          <t>19fb1eb346dc6cc0</t>
        </is>
      </c>
      <c r="J188" s="37" t="inlineStr">
        <is>
          <t>SUCCESS</t>
        </is>
      </c>
      <c r="K188" s="37" t="n"/>
    </row>
    <row r="189" ht="22.5" customHeight="1" s="53">
      <c r="A189" s="34" t="n">
        <v>46233.54209224537</v>
      </c>
      <c r="B189" s="37" t="n">
        <v>1</v>
      </c>
      <c r="C189" s="37" t="inlineStr">
        <is>
          <t>divyantiwariuni4@gmail.com</t>
        </is>
      </c>
      <c r="D189" s="37" t="inlineStr">
        <is>
          <t>CAMPAIGN_STARTED</t>
        </is>
      </c>
      <c r="E189" s="37" t="inlineStr">
        <is>
          <t>Service 2</t>
        </is>
      </c>
      <c r="F189" s="37" t="inlineStr">
        <is>
          <t>SEO</t>
        </is>
      </c>
      <c r="G189" s="37" t="inlineStr">
        <is>
          <t>NEW</t>
        </is>
      </c>
      <c r="H189" s="37" t="n"/>
      <c r="I189" s="37" t="n"/>
      <c r="J189" s="37" t="inlineStr">
        <is>
          <t>SUCCESS</t>
        </is>
      </c>
      <c r="K189" s="37" t="n"/>
    </row>
    <row r="190" ht="22.5" customHeight="1" s="53">
      <c r="A190" s="34" t="n">
        <v>46233.54221604166</v>
      </c>
      <c r="B190" s="37" t="n">
        <v>1</v>
      </c>
      <c r="C190" s="37" t="inlineStr">
        <is>
          <t>divyantiwariuni4@gmail.com</t>
        </is>
      </c>
      <c r="D190" s="37" t="inlineStr">
        <is>
          <t>EMAIL_1</t>
        </is>
      </c>
      <c r="E190" s="37" t="inlineStr">
        <is>
          <t>Service 2</t>
        </is>
      </c>
      <c r="F190" s="37" t="inlineStr">
        <is>
          <t>SEO</t>
        </is>
      </c>
      <c r="G190" s="37" t="inlineStr">
        <is>
          <t>EMAIL_1_SENT</t>
        </is>
      </c>
      <c r="H190" s="37" t="n"/>
      <c r="I190" s="37" t="inlineStr">
        <is>
          <t>19fb1eecca78786b</t>
        </is>
      </c>
      <c r="J190" s="37" t="inlineStr">
        <is>
          <t>SUCCESS</t>
        </is>
      </c>
      <c r="K190" s="37" t="n"/>
    </row>
    <row r="191" ht="22.5" customHeight="1" s="53">
      <c r="A191" s="34" t="n">
        <v>46233.65618157407</v>
      </c>
      <c r="B191" s="37" t="n">
        <v>6</v>
      </c>
      <c r="C191" s="37" t="inlineStr">
        <is>
          <t>forhek496@gmail.com</t>
        </is>
      </c>
      <c r="D191" s="37" t="inlineStr">
        <is>
          <t>EMAIL_1</t>
        </is>
      </c>
      <c r="E191" s="37" t="inlineStr">
        <is>
          <t>Service 1</t>
        </is>
      </c>
      <c r="F191" s="37" t="inlineStr">
        <is>
          <t>Website Development</t>
        </is>
      </c>
      <c r="G191" s="37" t="inlineStr">
        <is>
          <t>EMAIL_1_SENT</t>
        </is>
      </c>
      <c r="H191" s="37" t="n"/>
      <c r="I191" s="37" t="inlineStr">
        <is>
          <t>19fb2850cf04dd70</t>
        </is>
      </c>
      <c r="J191" s="37" t="inlineStr">
        <is>
          <t>SUCCESS</t>
        </is>
      </c>
      <c r="K191" s="37" t="n"/>
    </row>
    <row r="192" ht="22.5" customHeight="1" s="53">
      <c r="A192" s="34" t="n">
        <v>46233.65622936343</v>
      </c>
      <c r="B192" s="37" t="n">
        <v>7</v>
      </c>
      <c r="C192" s="37" t="inlineStr">
        <is>
          <t>anshxname@gmail.com</t>
        </is>
      </c>
      <c r="D192" s="37" t="inlineStr">
        <is>
          <t>EMAIL_1</t>
        </is>
      </c>
      <c r="E192" s="37" t="inlineStr">
        <is>
          <t>Service 1</t>
        </is>
      </c>
      <c r="F192" s="37" t="inlineStr">
        <is>
          <t>Website Development</t>
        </is>
      </c>
      <c r="G192" s="37" t="inlineStr">
        <is>
          <t>EMAIL_1_SENT</t>
        </is>
      </c>
      <c r="H192" s="37" t="n"/>
      <c r="I192" s="37" t="inlineStr">
        <is>
          <t>19fb2851ce1f8e6f</t>
        </is>
      </c>
      <c r="J192" s="37" t="inlineStr">
        <is>
          <t>SUCCESS</t>
        </is>
      </c>
      <c r="K192" s="37" t="n"/>
    </row>
    <row r="193" ht="22.5" customHeight="1" s="53">
      <c r="A193" s="34" t="n">
        <v>46233.65627623843</v>
      </c>
      <c r="B193" s="37" t="n">
        <v>8</v>
      </c>
      <c r="C193" s="37" t="inlineStr">
        <is>
          <t>pcshado01@gmail.com</t>
        </is>
      </c>
      <c r="D193" s="37" t="inlineStr">
        <is>
          <t>EMAIL_1</t>
        </is>
      </c>
      <c r="E193" s="37" t="inlineStr">
        <is>
          <t>Service 1</t>
        </is>
      </c>
      <c r="F193" s="37" t="inlineStr">
        <is>
          <t>Website Development</t>
        </is>
      </c>
      <c r="G193" s="37" t="inlineStr">
        <is>
          <t>EMAIL_1_SENT</t>
        </is>
      </c>
      <c r="H193" s="37" t="n"/>
      <c r="I193" s="37" t="inlineStr">
        <is>
          <t>19fb2852d93ef4dc</t>
        </is>
      </c>
      <c r="J193" s="37" t="inlineStr">
        <is>
          <t>SUCCESS</t>
        </is>
      </c>
      <c r="K193" s="37" t="n"/>
    </row>
    <row r="194" ht="22.5" customHeight="1" s="53">
      <c r="A194" s="34" t="n">
        <v>46233.65632548611</v>
      </c>
      <c r="B194" s="37" t="n">
        <v>9</v>
      </c>
      <c r="C194" s="37" t="inlineStr">
        <is>
          <t>robuxcaedd@gmail.com</t>
        </is>
      </c>
      <c r="D194" s="37" t="inlineStr">
        <is>
          <t>EMAIL_1</t>
        </is>
      </c>
      <c r="E194" s="37" t="inlineStr">
        <is>
          <t>Service 1</t>
        </is>
      </c>
      <c r="F194" s="37" t="inlineStr">
        <is>
          <t>Website Development</t>
        </is>
      </c>
      <c r="G194" s="37" t="inlineStr">
        <is>
          <t>EMAIL_1_SENT</t>
        </is>
      </c>
      <c r="H194" s="37" t="n"/>
      <c r="I194" s="37" t="inlineStr">
        <is>
          <t>19fb2853c2b90e95</t>
        </is>
      </c>
      <c r="J194" s="37" t="inlineStr">
        <is>
          <t>SUCCESS</t>
        </is>
      </c>
      <c r="K194" s="37" t="n"/>
    </row>
    <row r="195" ht="22.5" customHeight="1" s="53">
      <c r="A195" s="34" t="n">
        <v>46233.65638142361</v>
      </c>
      <c r="B195" s="37" t="n">
        <v>10</v>
      </c>
      <c r="C195" s="37" t="inlineStr">
        <is>
          <t>nddunidnuenei@gmail.com</t>
        </is>
      </c>
      <c r="D195" s="37" t="inlineStr">
        <is>
          <t>EMAIL_1</t>
        </is>
      </c>
      <c r="E195" s="37" t="inlineStr">
        <is>
          <t>Service 1</t>
        </is>
      </c>
      <c r="F195" s="37" t="inlineStr">
        <is>
          <t>Website Development</t>
        </is>
      </c>
      <c r="G195" s="37" t="inlineStr">
        <is>
          <t>EMAIL_1_SENT</t>
        </is>
      </c>
      <c r="H195" s="37" t="n"/>
      <c r="I195" s="37" t="inlineStr">
        <is>
          <t>19fb285511cc49ad</t>
        </is>
      </c>
      <c r="J195" s="37" t="inlineStr">
        <is>
          <t>SUCCESS</t>
        </is>
      </c>
      <c r="K195" s="37" t="n"/>
    </row>
    <row r="196" ht="22.5" customHeight="1" s="53">
      <c r="A196" s="34" t="n">
        <v>46233.65643508101</v>
      </c>
      <c r="B196" s="37" t="n">
        <v>11</v>
      </c>
      <c r="C196" s="37" t="inlineStr">
        <is>
          <t>muscelstation@gmail.com</t>
        </is>
      </c>
      <c r="D196" s="37" t="inlineStr">
        <is>
          <t>EMAIL_1</t>
        </is>
      </c>
      <c r="E196" s="37" t="inlineStr">
        <is>
          <t>Service 1</t>
        </is>
      </c>
      <c r="F196" s="37" t="inlineStr">
        <is>
          <t>Website Development</t>
        </is>
      </c>
      <c r="G196" s="37" t="inlineStr">
        <is>
          <t>EMAIL_1_SENT</t>
        </is>
      </c>
      <c r="H196" s="37" t="n"/>
      <c r="I196" s="37" t="inlineStr">
        <is>
          <t>19fb28563f1d1e77</t>
        </is>
      </c>
      <c r="J196" s="37" t="inlineStr">
        <is>
          <t>SUCCESS</t>
        </is>
      </c>
      <c r="K196" s="37" t="n"/>
    </row>
    <row r="197" ht="22.5" customHeight="1" s="53">
      <c r="A197" s="34" t="n">
        <v>46233.65648873842</v>
      </c>
      <c r="B197" s="37" t="n">
        <v>12</v>
      </c>
      <c r="C197" s="37" t="inlineStr">
        <is>
          <t>gympremium001@gmail.com</t>
        </is>
      </c>
      <c r="D197" s="37" t="inlineStr">
        <is>
          <t>EMAIL_1</t>
        </is>
      </c>
      <c r="E197" s="37" t="inlineStr">
        <is>
          <t>Service 1</t>
        </is>
      </c>
      <c r="F197" s="37" t="inlineStr">
        <is>
          <t>Website Development</t>
        </is>
      </c>
      <c r="G197" s="37" t="inlineStr">
        <is>
          <t>EMAIL_1_SENT</t>
        </is>
      </c>
      <c r="H197" s="37" t="n"/>
      <c r="I197" s="37" t="inlineStr">
        <is>
          <t>19fb28574bf5d961</t>
        </is>
      </c>
      <c r="J197" s="37" t="inlineStr">
        <is>
          <t>SUCCESS</t>
        </is>
      </c>
      <c r="K197" s="37" t="n"/>
    </row>
    <row r="198" ht="22.5" customHeight="1" s="53">
      <c r="A198" s="34" t="n">
        <v>46233.74296527778</v>
      </c>
      <c r="B198" s="37" t="n">
        <v>4</v>
      </c>
      <c r="C198" s="37" t="inlineStr">
        <is>
          <t>piyushbutola07@gmail.com</t>
        </is>
      </c>
      <c r="D198" s="37" t="inlineStr">
        <is>
          <t>EMAIL_1</t>
        </is>
      </c>
      <c r="E198" s="37" t="inlineStr">
        <is>
          <t>Service 1</t>
        </is>
      </c>
      <c r="F198" s="37" t="inlineStr">
        <is>
          <t>Website Development</t>
        </is>
      </c>
      <c r="G198" s="37" t="inlineStr">
        <is>
          <t>EMAIL_1_SENT</t>
        </is>
      </c>
      <c r="H198" s="37" t="n"/>
      <c r="I198" s="37" t="inlineStr">
        <is>
          <t>19fb2f77576e8c74</t>
        </is>
      </c>
      <c r="J198" s="37" t="inlineStr">
        <is>
          <t>SUCCESS</t>
        </is>
      </c>
      <c r="K198" s="37" t="n"/>
    </row>
    <row r="199" ht="22.5" customHeight="1" s="53">
      <c r="A199" s="34" t="n">
        <v>46233.7443315625</v>
      </c>
      <c r="B199" s="37" t="n">
        <v>5</v>
      </c>
      <c r="C199" s="37" t="inlineStr">
        <is>
          <t>kartikdynamisers@gmail.com</t>
        </is>
      </c>
      <c r="D199" s="37" t="inlineStr">
        <is>
          <t>EMAIL_1</t>
        </is>
      </c>
      <c r="E199" s="37" t="inlineStr">
        <is>
          <t>Service 1</t>
        </is>
      </c>
      <c r="F199" s="37" t="inlineStr">
        <is>
          <t>Website Development</t>
        </is>
      </c>
      <c r="G199" s="37" t="inlineStr">
        <is>
          <t>EMAIL_1_SENT</t>
        </is>
      </c>
      <c r="H199" s="37" t="n"/>
      <c r="I199" s="37" t="inlineStr">
        <is>
          <t>19fb2f94280893c9</t>
        </is>
      </c>
      <c r="J199" s="37" t="inlineStr">
        <is>
          <t>SUCCESS</t>
        </is>
      </c>
      <c r="K199" s="37" t="n"/>
    </row>
    <row r="200" ht="22.5" customHeight="1" s="53">
      <c r="A200" s="34" t="n">
        <v>46233.74569873843</v>
      </c>
      <c r="B200" s="37" t="n">
        <v>6</v>
      </c>
      <c r="C200" s="37" t="inlineStr">
        <is>
          <t>forhek496@gmail.com</t>
        </is>
      </c>
      <c r="D200" s="37" t="inlineStr">
        <is>
          <t>EMAIL_1</t>
        </is>
      </c>
      <c r="E200" s="37" t="inlineStr">
        <is>
          <t>Service 1</t>
        </is>
      </c>
      <c r="F200" s="37" t="inlineStr">
        <is>
          <t>Website Development</t>
        </is>
      </c>
      <c r="G200" s="37" t="inlineStr">
        <is>
          <t>EMAIL_1_SENT</t>
        </is>
      </c>
      <c r="H200" s="37" t="n"/>
      <c r="I200" s="37" t="inlineStr">
        <is>
          <t>19fb2fb10436a965</t>
        </is>
      </c>
      <c r="J200" s="37" t="inlineStr">
        <is>
          <t>SUCCESS</t>
        </is>
      </c>
      <c r="K200" s="37" t="n"/>
    </row>
    <row r="201" ht="22.5" customHeight="1" s="53">
      <c r="A201" s="34" t="n">
        <v>46233.7469578125</v>
      </c>
      <c r="B201" s="37" t="n">
        <v>7</v>
      </c>
      <c r="C201" s="37" t="inlineStr">
        <is>
          <t>anshxname@gmail.com</t>
        </is>
      </c>
      <c r="D201" s="37" t="inlineStr">
        <is>
          <t>EMAIL_1</t>
        </is>
      </c>
      <c r="E201" s="37" t="inlineStr">
        <is>
          <t>Service 1</t>
        </is>
      </c>
      <c r="F201" s="37" t="inlineStr">
        <is>
          <t>Website Development</t>
        </is>
      </c>
      <c r="G201" s="37" t="inlineStr">
        <is>
          <t>EMAIL_1_SENT</t>
        </is>
      </c>
      <c r="H201" s="37" t="n"/>
      <c r="I201" s="37" t="inlineStr">
        <is>
          <t>19fb2fcb93f1c035</t>
        </is>
      </c>
      <c r="J201" s="37" t="inlineStr">
        <is>
          <t>SUCCESS</t>
        </is>
      </c>
      <c r="K201" s="37" t="n"/>
    </row>
    <row r="202" ht="22.5" customHeight="1" s="53">
      <c r="A202" s="34" t="n">
        <v>46233.76564517361</v>
      </c>
      <c r="B202" s="37" t="n">
        <v>4</v>
      </c>
      <c r="C202" s="37" t="inlineStr">
        <is>
          <t>piyushbutola07@gmail.com</t>
        </is>
      </c>
      <c r="D202" s="37" t="inlineStr">
        <is>
          <t>FOLLOWUP_1</t>
        </is>
      </c>
      <c r="E202" s="37" t="inlineStr">
        <is>
          <t>Service 1</t>
        </is>
      </c>
      <c r="F202" s="37" t="inlineStr">
        <is>
          <t>Website Development</t>
        </is>
      </c>
      <c r="G202" s="37" t="inlineStr">
        <is>
          <t>FOLLOWUP_1_SENT</t>
        </is>
      </c>
      <c r="H202" s="37" t="n"/>
      <c r="I202" s="37" t="inlineStr">
        <is>
          <t>19fb2f77576e8c74</t>
        </is>
      </c>
      <c r="J202" s="37" t="inlineStr">
        <is>
          <t>SUCCESS</t>
        </is>
      </c>
      <c r="K202" s="37" t="n"/>
    </row>
    <row r="203" ht="22.5" customHeight="1" s="53">
      <c r="A203" s="34" t="n">
        <v>46233.76571246528</v>
      </c>
      <c r="B203" s="37" t="n">
        <v>5</v>
      </c>
      <c r="C203" s="37" t="inlineStr">
        <is>
          <t>kartikdynamisers@gmail.com</t>
        </is>
      </c>
      <c r="D203" s="37" t="inlineStr">
        <is>
          <t>FOLLOWUP_1</t>
        </is>
      </c>
      <c r="E203" s="37" t="inlineStr">
        <is>
          <t>Service 1</t>
        </is>
      </c>
      <c r="F203" s="37" t="inlineStr">
        <is>
          <t>Website Development</t>
        </is>
      </c>
      <c r="G203" s="37" t="inlineStr">
        <is>
          <t>FOLLOWUP_1_SENT</t>
        </is>
      </c>
      <c r="H203" s="37" t="n"/>
      <c r="I203" s="37" t="inlineStr">
        <is>
          <t>19fb2f94280893c9</t>
        </is>
      </c>
      <c r="J203" s="37" t="inlineStr">
        <is>
          <t>SUCCESS</t>
        </is>
      </c>
      <c r="K203" s="37" t="n"/>
    </row>
    <row r="204" ht="22.5" customHeight="1" s="53">
      <c r="A204" s="34" t="n">
        <v>46233.76577886574</v>
      </c>
      <c r="B204" s="37" t="n">
        <v>6</v>
      </c>
      <c r="C204" s="37" t="inlineStr">
        <is>
          <t>forhek496@gmail.com</t>
        </is>
      </c>
      <c r="D204" s="37" t="inlineStr">
        <is>
          <t>FOLLOWUP_1</t>
        </is>
      </c>
      <c r="E204" s="37" t="inlineStr">
        <is>
          <t>Service 1</t>
        </is>
      </c>
      <c r="F204" s="37" t="inlineStr">
        <is>
          <t>Website Development</t>
        </is>
      </c>
      <c r="G204" s="37" t="inlineStr">
        <is>
          <t>FOLLOWUP_1_SENT</t>
        </is>
      </c>
      <c r="H204" s="37" t="n"/>
      <c r="I204" s="37" t="inlineStr">
        <is>
          <t>19fb2fb10436a965</t>
        </is>
      </c>
      <c r="J204" s="37" t="inlineStr">
        <is>
          <t>SUCCESS</t>
        </is>
      </c>
      <c r="K204" s="37" t="n"/>
    </row>
    <row r="205" ht="22.5" customHeight="1" s="53">
      <c r="A205" s="34" t="n">
        <v>46233.76584240741</v>
      </c>
      <c r="B205" s="37" t="n">
        <v>7</v>
      </c>
      <c r="C205" s="37" t="inlineStr">
        <is>
          <t>anshxname@gmail.com</t>
        </is>
      </c>
      <c r="D205" s="37" t="inlineStr">
        <is>
          <t>FOLLOWUP_1</t>
        </is>
      </c>
      <c r="E205" s="37" t="inlineStr">
        <is>
          <t>Service 1</t>
        </is>
      </c>
      <c r="F205" s="37" t="inlineStr">
        <is>
          <t>Website Development</t>
        </is>
      </c>
      <c r="G205" s="37" t="inlineStr">
        <is>
          <t>FOLLOWUP_1_SENT</t>
        </is>
      </c>
      <c r="H205" s="37" t="n"/>
      <c r="I205" s="37" t="inlineStr">
        <is>
          <t>19fb2fcb93f1c035</t>
        </is>
      </c>
      <c r="J205" s="37" t="inlineStr">
        <is>
          <t>SUCCESS</t>
        </is>
      </c>
      <c r="K205" s="37" t="n"/>
    </row>
    <row r="206" ht="22.5" customHeight="1" s="53">
      <c r="A206" s="34" t="n">
        <v>46233.76590712963</v>
      </c>
      <c r="B206" s="37" t="n">
        <v>8</v>
      </c>
      <c r="C206" s="37" t="inlineStr">
        <is>
          <t>pcshado01@gmail.com</t>
        </is>
      </c>
      <c r="D206" s="37" t="inlineStr">
        <is>
          <t>EMAIL_1</t>
        </is>
      </c>
      <c r="E206" s="37" t="inlineStr">
        <is>
          <t>Service 1</t>
        </is>
      </c>
      <c r="F206" s="37" t="inlineStr">
        <is>
          <t>Website Development</t>
        </is>
      </c>
      <c r="G206" s="37" t="inlineStr">
        <is>
          <t>EMAIL_1_SENT</t>
        </is>
      </c>
      <c r="H206" s="37" t="n"/>
      <c r="I206" s="37" t="inlineStr">
        <is>
          <t>19fb315b33a73294</t>
        </is>
      </c>
      <c r="J206" s="37" t="inlineStr">
        <is>
          <t>SUCCESS</t>
        </is>
      </c>
      <c r="K206" s="37" t="n"/>
    </row>
    <row r="207" ht="22.5" customHeight="1" s="53">
      <c r="A207" s="34" t="n">
        <v>46233.76602753472</v>
      </c>
      <c r="B207" s="37" t="n">
        <v>9</v>
      </c>
      <c r="C207" s="37" t="inlineStr">
        <is>
          <t>robuxcaedd@gmail.com</t>
        </is>
      </c>
      <c r="D207" s="37" t="inlineStr">
        <is>
          <t>EMAIL_1</t>
        </is>
      </c>
      <c r="E207" s="37" t="inlineStr">
        <is>
          <t>Service 1</t>
        </is>
      </c>
      <c r="F207" s="37" t="inlineStr">
        <is>
          <t>Website Development</t>
        </is>
      </c>
      <c r="G207" s="37" t="inlineStr">
        <is>
          <t>EMAIL_1_SENT</t>
        </is>
      </c>
      <c r="H207" s="37" t="n"/>
      <c r="I207" s="37" t="inlineStr">
        <is>
          <t>19fb315db585d281</t>
        </is>
      </c>
      <c r="J207" s="37" t="inlineStr">
        <is>
          <t>SUCCESS</t>
        </is>
      </c>
      <c r="K207" s="37" t="n"/>
    </row>
    <row r="208" ht="22.5" customHeight="1" s="53">
      <c r="A208" s="34" t="n">
        <v>46233.76612061343</v>
      </c>
      <c r="B208" s="37" t="n">
        <v>10</v>
      </c>
      <c r="C208" s="37" t="inlineStr">
        <is>
          <t>nddunidnuenei@gmail.com</t>
        </is>
      </c>
      <c r="D208" s="37" t="inlineStr">
        <is>
          <t>EMAIL_1</t>
        </is>
      </c>
      <c r="E208" s="37" t="inlineStr">
        <is>
          <t>Service 1</t>
        </is>
      </c>
      <c r="F208" s="37" t="inlineStr">
        <is>
          <t>Website Development</t>
        </is>
      </c>
      <c r="G208" s="37" t="inlineStr">
        <is>
          <t>EMAIL_1_SENT</t>
        </is>
      </c>
      <c r="H208" s="37" t="n"/>
      <c r="I208" s="37" t="inlineStr">
        <is>
          <t>19fb315fc7cc4ed4</t>
        </is>
      </c>
      <c r="J208" s="37" t="inlineStr">
        <is>
          <t>SUCCESS</t>
        </is>
      </c>
      <c r="K208" s="37" t="n"/>
    </row>
    <row r="209" ht="22.5" customHeight="1" s="53">
      <c r="A209" s="34" t="n">
        <v>46233.76620121528</v>
      </c>
      <c r="B209" s="37" t="n">
        <v>11</v>
      </c>
      <c r="C209" s="37" t="inlineStr">
        <is>
          <t>muscelstation@gmail.com</t>
        </is>
      </c>
      <c r="D209" s="37" t="inlineStr">
        <is>
          <t>EMAIL_1</t>
        </is>
      </c>
      <c r="E209" s="37" t="inlineStr">
        <is>
          <t>Service 1</t>
        </is>
      </c>
      <c r="F209" s="37" t="inlineStr">
        <is>
          <t>Website Development</t>
        </is>
      </c>
      <c r="G209" s="37" t="inlineStr">
        <is>
          <t>EMAIL_1_SENT</t>
        </is>
      </c>
      <c r="H209" s="37" t="n"/>
      <c r="I209" s="37" t="inlineStr">
        <is>
          <t>19fb31618e44301b</t>
        </is>
      </c>
      <c r="J209" s="37" t="inlineStr">
        <is>
          <t>SUCCESS</t>
        </is>
      </c>
      <c r="K209" s="37" t="n"/>
    </row>
    <row r="210" ht="22.5" customHeight="1" s="53">
      <c r="A210" s="34" t="n">
        <v>46233.76629427083</v>
      </c>
      <c r="B210" s="37" t="n">
        <v>12</v>
      </c>
      <c r="C210" s="37" t="inlineStr">
        <is>
          <t>gympremium001@gmail.com</t>
        </is>
      </c>
      <c r="D210" s="37" t="inlineStr">
        <is>
          <t>EMAIL_1</t>
        </is>
      </c>
      <c r="E210" s="37" t="inlineStr">
        <is>
          <t>Service 1</t>
        </is>
      </c>
      <c r="F210" s="37" t="inlineStr">
        <is>
          <t>Website Development</t>
        </is>
      </c>
      <c r="G210" s="37" t="inlineStr">
        <is>
          <t>EMAIL_1_SENT</t>
        </is>
      </c>
      <c r="H210" s="37" t="n"/>
      <c r="I210" s="37" t="inlineStr">
        <is>
          <t>19fb31636d7d76a1</t>
        </is>
      </c>
      <c r="J210" s="37" t="inlineStr">
        <is>
          <t>SUCCESS</t>
        </is>
      </c>
      <c r="K210" s="37" t="n"/>
    </row>
    <row r="211" ht="22.5" customHeight="1" s="53">
      <c r="A211" s="34" t="n">
        <v>46233.76638380787</v>
      </c>
      <c r="B211" s="37" t="n">
        <v>14</v>
      </c>
      <c r="C211" s="37" t="inlineStr">
        <is>
          <t>surajmukul08@gmail.com</t>
        </is>
      </c>
      <c r="D211" s="37" t="inlineStr">
        <is>
          <t>EMAIL_1</t>
        </is>
      </c>
      <c r="E211" s="37" t="inlineStr">
        <is>
          <t>Service 1</t>
        </is>
      </c>
      <c r="F211" s="37" t="inlineStr">
        <is>
          <t>Website Development</t>
        </is>
      </c>
      <c r="G211" s="37" t="inlineStr">
        <is>
          <t>EMAIL_1_SENT</t>
        </is>
      </c>
      <c r="H211" s="37" t="n"/>
      <c r="I211" s="37" t="inlineStr">
        <is>
          <t>19fb31655af8f0b3</t>
        </is>
      </c>
      <c r="J211" s="37" t="inlineStr">
        <is>
          <t>SUCCESS</t>
        </is>
      </c>
      <c r="K211" s="37" t="n"/>
    </row>
    <row r="212" ht="22.5" customHeight="1" s="53">
      <c r="A212" s="34" t="n">
        <v>46233.76646680556</v>
      </c>
      <c r="B212" s="37" t="n">
        <v>15</v>
      </c>
      <c r="C212" s="37" t="inlineStr">
        <is>
          <t>forstuydy@gmail.com</t>
        </is>
      </c>
      <c r="D212" s="37" t="inlineStr">
        <is>
          <t>EMAIL_1</t>
        </is>
      </c>
      <c r="E212" s="37" t="inlineStr">
        <is>
          <t>Service 1</t>
        </is>
      </c>
      <c r="F212" s="37" t="inlineStr">
        <is>
          <t>Website Development</t>
        </is>
      </c>
      <c r="G212" s="37" t="inlineStr">
        <is>
          <t>EMAIL_1_SENT</t>
        </is>
      </c>
      <c r="H212" s="37" t="n"/>
      <c r="I212" s="37" t="inlineStr">
        <is>
          <t>19fb31670e8211e7</t>
        </is>
      </c>
      <c r="J212" s="37" t="inlineStr">
        <is>
          <t>SUCCESS</t>
        </is>
      </c>
      <c r="K212" s="37" t="n"/>
    </row>
  </sheetData>
  <dataValidations count="2">
    <dataValidation sqref="A2:A212" showDropDown="1" showInputMessage="0" showErrorMessage="0" allowBlank="1" type="custom">
      <formula1>OR(NOT(ISERROR(DATEVALUE(A2))), AND(ISNUMBER(A2), LEFT(CELL("format", A2))="D"))</formula1>
    </dataValidation>
    <dataValidation sqref="B2:B212" showDropDown="1" showInputMessage="0" showErrorMessage="0" allowBlank="1" type="custom">
      <formula1>AND(ISNUMBER(B2),(NOT(OR(NOT(ISERROR(DATEVALUE(B2))), AND(ISNUMBER(B2), LEFT(CELL("format", B2))="D")))))</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s>
  <pageMargins left="0.75" right="0.75" top="1" bottom="1" header="0.5" footer="0.5"/>
  <tableParts count="1">
    <tablePart xmlns:r="http://schemas.openxmlformats.org/officeDocument/2006/relationships" r:id="rId9"/>
  </tableParts>
</worksheet>
</file>

<file path=xl/worksheets/sheet9.xml><?xml version="1.0" encoding="utf-8"?>
<worksheet xmlns="http://schemas.openxmlformats.org/spreadsheetml/2006/main">
  <sheetPr>
    <outlinePr summaryBelow="0" summaryRight="0"/>
    <pageSetUpPr/>
  </sheetPr>
  <dimension ref="A1:B6"/>
  <sheetViews>
    <sheetView workbookViewId="0">
      <selection activeCell="A1" sqref="A1"/>
    </sheetView>
  </sheetViews>
  <sheetFormatPr baseColWidth="8" defaultColWidth="12.63" defaultRowHeight="15.75" customHeight="1"/>
  <sheetData>
    <row r="1">
      <c r="A1" s="1" t="inlineStr">
        <is>
          <t>A — Setting</t>
        </is>
      </c>
      <c r="B1" s="1" t="inlineStr">
        <is>
          <t>B — Value</t>
        </is>
      </c>
    </row>
    <row r="2">
      <c r="A2" s="29" t="inlineStr">
        <is>
          <t>AI_ENABLED</t>
        </is>
      </c>
      <c r="B2" s="29" t="b">
        <v>1</v>
      </c>
    </row>
    <row r="3">
      <c r="A3" s="29" t="inlineStr">
        <is>
          <t>AI_MODEL</t>
        </is>
      </c>
      <c r="B3" s="29" t="inlineStr">
        <is>
          <t>gemini-3.5-flash-lite</t>
        </is>
      </c>
    </row>
    <row r="4">
      <c r="A4" s="29" t="inlineStr">
        <is>
          <t>MAX_INTRO_WORDS</t>
        </is>
      </c>
      <c r="B4" s="29" t="n">
        <v>35</v>
      </c>
    </row>
    <row r="5">
      <c r="A5" s="29" t="inlineStr">
        <is>
          <t>TEMPERATURE</t>
        </is>
      </c>
      <c r="B5" s="29" t="n">
        <v>0.4</v>
      </c>
    </row>
    <row r="6">
      <c r="A6" s="29" t="inlineStr">
        <is>
          <t>AI_RPM_LIMIT</t>
        </is>
      </c>
      <c r="B6" s="29" t="n">
        <v>15</v>
      </c>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J50"/>
  <sheetViews>
    <sheetView showGridLines="0" workbookViewId="0">
      <pane ySplit="3" topLeftCell="A4" activePane="bottomLeft" state="frozen"/>
      <selection pane="bottomLeft" activeCell="B5" sqref="B5"/>
    </sheetView>
  </sheetViews>
  <sheetFormatPr baseColWidth="8" defaultColWidth="12.63" defaultRowHeight="15.75" customHeight="1"/>
  <cols>
    <col width="22" customWidth="1" style="53" min="1" max="1"/>
    <col width="13.88" customWidth="1" style="53" min="2" max="7"/>
    <col width="17" customWidth="1" style="53" min="8" max="9"/>
    <col width="20.13" customWidth="1" style="53" min="10" max="10"/>
  </cols>
  <sheetData>
    <row r="1" ht="22.5" customHeight="1" s="53">
      <c r="A1" s="20" t="inlineStr">
        <is>
          <t>AI Cold Email Automation</t>
        </is>
      </c>
    </row>
    <row r="2" ht="22.5" customHeight="1" s="53"/>
    <row r="3">
      <c r="A3" s="22" t="inlineStr">
        <is>
          <t>Campaign performance, pipeline health and automation activity</t>
        </is>
      </c>
    </row>
    <row r="4">
      <c r="A4" s="31" t="n"/>
      <c r="B4" s="31" t="n"/>
      <c r="C4" s="31" t="n"/>
      <c r="D4" s="31" t="n"/>
      <c r="E4" s="31" t="n"/>
      <c r="F4" s="31" t="n"/>
      <c r="G4" s="31" t="n"/>
      <c r="H4" s="31" t="n"/>
      <c r="I4" s="31" t="n"/>
      <c r="J4" s="31" t="n"/>
    </row>
    <row r="5">
      <c r="A5" s="26" t="inlineStr">
        <is>
          <t>SYSTEM STATUS</t>
        </is>
      </c>
      <c r="B5" s="26" t="n"/>
      <c r="C5" s="26" t="n"/>
      <c r="D5" s="26" t="n"/>
      <c r="E5" s="26" t="n"/>
      <c r="F5" s="26" t="n"/>
      <c r="G5" s="26" t="n"/>
      <c r="H5" s="26" t="n"/>
      <c r="I5" s="26" t="n"/>
      <c r="J5" s="26" t="n"/>
    </row>
    <row r="6">
      <c r="A6" s="27" t="inlineStr">
        <is>
          <t>Automation</t>
        </is>
      </c>
      <c r="B6" s="30" t="inlineStr">
        <is>
          <t>ON</t>
        </is>
      </c>
      <c r="C6" s="27" t="inlineStr">
        <is>
          <t>Preview Mode</t>
        </is>
      </c>
      <c r="D6" s="30" t="inlineStr">
        <is>
          <t>ON</t>
        </is>
      </c>
      <c r="E6" s="27" t="inlineStr">
        <is>
          <t>Test Mode</t>
        </is>
      </c>
      <c r="F6" s="30" t="inlineStr">
        <is>
          <t>OFF</t>
        </is>
      </c>
      <c r="G6" s="27" t="inlineStr">
        <is>
          <t>Fast Test</t>
        </is>
      </c>
      <c r="H6" s="30" t="inlineStr">
        <is>
          <t>ON</t>
        </is>
      </c>
      <c r="I6" s="27" t="inlineStr">
        <is>
          <t>Daily Usage</t>
        </is>
      </c>
      <c r="J6" s="30">
        <f>(COUNTIFS(ActivityLog!A2:A1000,"&gt;="&amp;TODAY(),ActivityLog!A2:A1000,"&lt;"&amp;TODAY()+1,ActivityLog!J2:J1000,"SUCCESS",ActivityLog!D2:D1000,"EMAIL_1")+COUNTIFS(ActivityLog!A2:A1000,"&gt;="&amp;TODAY(),ActivityLog!A2:A1000,"&lt;"&amp;TODAY()+1,ActivityLog!J2:J1000,"SUCCESS",ActivityLog!D2:D1000,"FOLLOWUP_1")+COUNTIFS(ActivityLog!A2:A1000,"&gt;="&amp;TODAY(),ActivityLog!A2:A1000,"&lt;"&amp;TODAY()+1,ActivityLog!J2:J1000,"SUCCESS",ActivityLog!D2:D1000,"FOLLOWUP_2")+COUNTIFS(ActivityLog!A2:A1000,"&gt;="&amp;TODAY(),ActivityLog!A2:A1000,"&lt;"&amp;TODAY()+1,ActivityLog!J2:J1000,"SUCCESS",ActivityLog!D2:D1000,"FOLLOWUP_3"))&amp;" / 50"</f>
        <v/>
      </c>
    </row>
    <row r="7">
      <c r="A7" s="31" t="n"/>
      <c r="B7" s="31" t="n"/>
      <c r="C7" s="31" t="n"/>
      <c r="D7" s="31" t="n"/>
      <c r="E7" s="31" t="n"/>
      <c r="F7" s="31" t="n"/>
      <c r="G7" s="31" t="n"/>
      <c r="H7" s="31" t="n"/>
      <c r="I7" s="31" t="n"/>
      <c r="J7" s="31" t="n"/>
    </row>
    <row r="8">
      <c r="A8" s="26" t="inlineStr">
        <is>
          <t>CAMPAIGN OVERVIEW</t>
        </is>
      </c>
      <c r="B8" s="26" t="n"/>
      <c r="C8" s="26" t="n"/>
      <c r="D8" s="26" t="n"/>
      <c r="E8" s="26" t="n"/>
      <c r="F8" s="26" t="n"/>
      <c r="G8" s="26" t="n"/>
      <c r="H8" s="26" t="n"/>
      <c r="I8" s="26" t="n"/>
      <c r="J8" s="26" t="n"/>
    </row>
    <row r="9">
      <c r="A9" s="32" t="inlineStr">
        <is>
          <t>Total Leads</t>
        </is>
      </c>
      <c r="B9" s="30" t="n"/>
      <c r="C9" s="32" t="inlineStr">
        <is>
          <t>Active Leads</t>
        </is>
      </c>
      <c r="D9" s="30" t="n"/>
      <c r="E9" s="32" t="inlineStr">
        <is>
          <t>Emails Sent</t>
        </is>
      </c>
      <c r="F9" s="30" t="n"/>
      <c r="G9" s="32" t="inlineStr">
        <is>
          <t>Replies</t>
        </is>
      </c>
      <c r="H9" s="30" t="n"/>
      <c r="I9" s="32" t="inlineStr">
        <is>
          <t>Reply Rate</t>
        </is>
      </c>
      <c r="J9" s="30" t="n"/>
    </row>
    <row r="10">
      <c r="A10" s="33">
        <f>COUNTIF(Leads!D2:D1000,"&lt;&gt;")</f>
        <v/>
      </c>
      <c r="B10" s="30" t="n"/>
      <c r="C10" s="33">
        <f>COUNTIFS(Leads!D2:D1000,"&lt;&gt;",Leads!O2:O1000,"&lt;&gt;COMPLETED",Leads!O2:O1000,"&lt;&gt;INVALID",Leads!O2:O1000,"&lt;&gt;DO_NOT_CONTACT",Leads!O2:O1000,"&lt;&gt;REPLIED")</f>
        <v/>
      </c>
      <c r="D10" s="30" t="n"/>
      <c r="E10" s="33">
        <f>COUNTIFS(ActivityLog!J2:J1000,"SUCCESS",ActivityLog!D2:D1000,"EMAIL_1")+COUNTIFS(ActivityLog!J2:J1000,"SUCCESS",ActivityLog!D2:D1000,"FOLLOWUP_1")+COUNTIFS(ActivityLog!J2:J1000,"SUCCESS",ActivityLog!D2:D1000,"FOLLOWUP_2")+COUNTIFS(ActivityLog!J2:J1000,"SUCCESS",ActivityLog!D2:D1000,"FOLLOWUP_3")</f>
        <v/>
      </c>
      <c r="F10" s="30" t="n"/>
      <c r="G10" s="33">
        <f>COUNTIF(Leads!O2:O1000,"REPLIED")</f>
        <v/>
      </c>
      <c r="H10" s="30" t="n"/>
      <c r="I10" s="38">
        <f>IFERROR(COUNTIF(Leads!O2:O1000,"REPLIED")/COUNTIF(Leads!D2:D1000,"&lt;&gt;"),0)</f>
        <v/>
      </c>
      <c r="J10" s="30" t="n"/>
    </row>
    <row r="11">
      <c r="A11" s="31" t="n"/>
      <c r="B11" s="31" t="n"/>
      <c r="C11" s="31" t="n"/>
      <c r="D11" s="31" t="n"/>
      <c r="E11" s="31" t="n"/>
      <c r="F11" s="31" t="n"/>
      <c r="G11" s="31" t="n"/>
      <c r="H11" s="31" t="n"/>
      <c r="I11" s="31" t="n"/>
      <c r="J11" s="31" t="n"/>
    </row>
    <row r="12">
      <c r="A12" s="39" t="inlineStr">
        <is>
          <t>New Leads</t>
        </is>
      </c>
      <c r="B12" s="40" t="n"/>
      <c r="C12" s="39" t="inlineStr">
        <is>
          <t>Completed</t>
        </is>
      </c>
      <c r="D12" s="40" t="n"/>
      <c r="E12" s="39" t="inlineStr">
        <is>
          <t>Invalid / Bounced</t>
        </is>
      </c>
      <c r="F12" s="40" t="n"/>
      <c r="G12" s="39" t="inlineStr">
        <is>
          <t>Do Not Contact</t>
        </is>
      </c>
      <c r="H12" s="40" t="n"/>
      <c r="I12" s="39" t="inlineStr">
        <is>
          <t>Failed Actions</t>
        </is>
      </c>
      <c r="J12" s="40" t="n"/>
    </row>
    <row r="13">
      <c r="A13" s="41">
        <f>COUNTIF(Leads!O2:O1000,"NEW")</f>
        <v/>
      </c>
      <c r="B13" s="40" t="n"/>
      <c r="C13" s="41">
        <f>COUNTIF(Leads!O2:O1000,"COMPLETED")</f>
        <v/>
      </c>
      <c r="D13" s="40" t="n"/>
      <c r="E13" s="41">
        <f>COUNTIF(Leads!O2:O1000,"INVALID")</f>
        <v/>
      </c>
      <c r="F13" s="40" t="n"/>
      <c r="G13" s="41">
        <f>COUNTIF(Leads!O2:O1000,"DO_NOT_CONTACT")</f>
        <v/>
      </c>
      <c r="H13" s="40" t="n"/>
      <c r="I13" s="41">
        <f>COUNTIF(ActivityLog!J2:J1000,"FAILED")</f>
        <v/>
      </c>
      <c r="J13" s="40" t="n"/>
    </row>
    <row r="14">
      <c r="A14" s="31" t="n"/>
      <c r="B14" s="31" t="n"/>
      <c r="C14" s="31" t="n"/>
      <c r="D14" s="31" t="n"/>
      <c r="E14" s="31" t="n"/>
      <c r="F14" s="31" t="n"/>
      <c r="G14" s="31" t="n"/>
      <c r="H14" s="31" t="n"/>
      <c r="I14" s="31" t="n"/>
      <c r="J14" s="31" t="n"/>
    </row>
    <row r="15">
      <c r="A15" s="26" t="inlineStr">
        <is>
          <t>SERVICE PERFORMANCE</t>
        </is>
      </c>
      <c r="G15" s="31" t="n"/>
      <c r="H15" s="26" t="inlineStr">
        <is>
          <t>CAMPAIGN PIPELINE</t>
        </is>
      </c>
    </row>
    <row r="16">
      <c r="A16" s="42" t="inlineStr">
        <is>
          <t>Service</t>
        </is>
      </c>
      <c r="B16" s="42" t="inlineStr">
        <is>
          <t>Current Leads</t>
        </is>
      </c>
      <c r="C16" s="42" t="inlineStr">
        <is>
          <t>Campaigns Started</t>
        </is>
      </c>
      <c r="D16" s="42" t="inlineStr">
        <is>
          <t>Replies</t>
        </is>
      </c>
      <c r="E16" s="42" t="inlineStr">
        <is>
          <t>Service Completed</t>
        </is>
      </c>
      <c r="F16" s="42" t="inlineStr">
        <is>
          <t>Reply Rate</t>
        </is>
      </c>
      <c r="G16" s="31" t="n"/>
      <c r="H16" s="42" t="inlineStr">
        <is>
          <t>Stage</t>
        </is>
      </c>
      <c r="I16" s="42" t="inlineStr">
        <is>
          <t>Leads</t>
        </is>
      </c>
      <c r="J16" s="31" t="n"/>
    </row>
    <row r="17">
      <c r="A17" s="44" t="inlineStr">
        <is>
          <t>Website Development</t>
        </is>
      </c>
      <c r="B17" s="44">
        <f>COUNTIFS(Leads!H2:H1000,"Website Development",Leads!O2:O1000,"&lt;&gt;COMPLETED",Leads!O2:O1000,"&lt;&gt;INVALID",Leads!O2:O1000,"&lt;&gt;DO_NOT_CONTACT",Leads!O2:O1000,"&lt;&gt;REPLIED")</f>
        <v/>
      </c>
      <c r="C17" s="44">
        <f>COUNTIFS(ActivityLog!F2:F1000,"Website Development",ActivityLog!D2:D1000,"EMAIL_1",ActivityLog!J2:J1000,"SUCCESS")</f>
        <v/>
      </c>
      <c r="D17" s="44">
        <f>COUNTIFS(Leads!H2:H1000,"Website Development",Leads!O2:O1000,"REPLIED")</f>
        <v/>
      </c>
      <c r="E17" s="44">
        <f>COUNTIF(Leads!O2:O1000,"NOT_INTERESTED_SERVICE_1")</f>
        <v/>
      </c>
      <c r="F17" s="45">
        <f>IFERROR(D17/B17,0)</f>
        <v/>
      </c>
      <c r="G17" s="31" t="n"/>
      <c r="H17" s="44" t="inlineStr">
        <is>
          <t>NEW</t>
        </is>
      </c>
      <c r="I17" s="44">
        <f>COUNTIF(Leads!O2:O1000,"NEW")</f>
        <v/>
      </c>
      <c r="J17" s="31" t="n"/>
    </row>
    <row r="18">
      <c r="A18" s="44" t="inlineStr">
        <is>
          <t>SEO</t>
        </is>
      </c>
      <c r="B18" s="44">
        <f>COUNTIFS(Leads!H2:H1000,"SEO",Leads!O2:O1000,"&lt;&gt;COMPLETED",Leads!O2:O1000,"&lt;&gt;INVALID",Leads!O2:O1000,"&lt;&gt;DO_NOT_CONTACT",Leads!O2:O1000,"&lt;&gt;REPLIED")</f>
        <v/>
      </c>
      <c r="C18" s="44">
        <f>COUNTIFS(ActivityLog!F2:F1000,"SEO",ActivityLog!D2:D1000,"EMAIL_1",ActivityLog!J2:J1000,"SUCCESS")</f>
        <v/>
      </c>
      <c r="D18" s="44">
        <f>COUNTIFS(Leads!H2:H1000,"SEO",Leads!O2:O1000,"REPLIED")</f>
        <v/>
      </c>
      <c r="E18" s="44">
        <f>COUNTIF(Leads!O2:O1000,"NOT_INTERESTED_SERVICE_2")</f>
        <v/>
      </c>
      <c r="F18" s="45">
        <f>IFERROR(D18/B18,0)</f>
        <v/>
      </c>
      <c r="G18" s="31" t="n"/>
      <c r="H18" s="44" t="inlineStr">
        <is>
          <t>Email 1 Sent</t>
        </is>
      </c>
      <c r="I18" s="44">
        <f>COUNTIF(Leads!O2:O1000,"EMAIL_1_SENT")</f>
        <v/>
      </c>
      <c r="J18" s="31" t="n"/>
    </row>
    <row r="19">
      <c r="A19" s="44" t="inlineStr">
        <is>
          <t>Google Ads</t>
        </is>
      </c>
      <c r="B19" s="44">
        <f>COUNTIFS(Leads!H2:H1000,"Google Ads",Leads!O2:O1000,"&lt;&gt;COMPLETED",Leads!O2:O1000,"&lt;&gt;INVALID",Leads!O2:O1000,"&lt;&gt;DO_NOT_CONTACT",Leads!O2:O1000,"&lt;&gt;REPLIED")</f>
        <v/>
      </c>
      <c r="C19" s="44">
        <f>COUNTIFS(ActivityLog!F2:F1000,"Google Ads",ActivityLog!D2:D1000,"EMAIL_1",ActivityLog!J2:J1000,"SUCCESS")</f>
        <v/>
      </c>
      <c r="D19" s="44">
        <f>COUNTIFS(Leads!H2:H1000,"Google Ads",Leads!O2:O1000,"REPLIED")</f>
        <v/>
      </c>
      <c r="E19" s="44">
        <f>COUNTIF(Leads!O2:O1000,"NOT_INTERESTED_SERVICE_3")</f>
        <v/>
      </c>
      <c r="F19" s="45">
        <f>IFERROR(D19/B19,0)</f>
        <v/>
      </c>
      <c r="G19" s="31" t="n"/>
      <c r="H19" s="44" t="inlineStr">
        <is>
          <t>Follow-up 1</t>
        </is>
      </c>
      <c r="I19" s="44">
        <f>COUNTIF(Leads!O2:O1000,"FOLLOWUP_1_SENT")</f>
        <v/>
      </c>
      <c r="J19" s="31" t="n"/>
    </row>
    <row r="20">
      <c r="A20" s="31" t="n"/>
      <c r="B20" s="31" t="n"/>
      <c r="C20" s="31" t="n"/>
      <c r="D20" s="31" t="n"/>
      <c r="E20" s="31" t="n"/>
      <c r="F20" s="31" t="n"/>
      <c r="G20" s="31" t="n"/>
      <c r="H20" s="44" t="inlineStr">
        <is>
          <t>Follow-up 2</t>
        </is>
      </c>
      <c r="I20" s="44">
        <f>COUNTIF(Leads!O2:O1000,"FOLLOWUP_2_SENT")</f>
        <v/>
      </c>
      <c r="J20" s="31" t="n"/>
    </row>
    <row r="21">
      <c r="A21" s="31" t="n"/>
      <c r="B21" s="31" t="n"/>
      <c r="C21" s="31" t="n"/>
      <c r="D21" s="31" t="n"/>
      <c r="E21" s="31" t="n"/>
      <c r="F21" s="31" t="n"/>
      <c r="G21" s="31" t="n"/>
      <c r="H21" s="44" t="inlineStr">
        <is>
          <t>Follow-up 3</t>
        </is>
      </c>
      <c r="I21" s="44">
        <f>COUNTIF(Leads!O2:O1000,"FOLLOWUP_3_SENT")</f>
        <v/>
      </c>
      <c r="J21" s="31" t="n"/>
    </row>
    <row r="22">
      <c r="A22" s="26" t="inlineStr">
        <is>
          <t>DELIVERY OVERVIEW</t>
        </is>
      </c>
      <c r="G22" s="31" t="n"/>
      <c r="H22" s="44" t="inlineStr">
        <is>
          <t>Replied</t>
        </is>
      </c>
      <c r="I22" s="44">
        <f>COUNTIF(Leads!O2:O1000,"REPLIED")</f>
        <v/>
      </c>
      <c r="J22" s="31" t="n"/>
    </row>
    <row r="23">
      <c r="A23" s="46" t="inlineStr">
        <is>
          <t>Sent Today</t>
        </is>
      </c>
      <c r="B23" s="46" t="inlineStr">
        <is>
          <t>Sent This Week</t>
        </is>
      </c>
      <c r="C23" s="46" t="inlineStr">
        <is>
          <t>Daily Remaining</t>
        </is>
      </c>
      <c r="D23" s="46" t="inlineStr">
        <is>
          <t>Follow-ups Due</t>
        </is>
      </c>
      <c r="E23" s="46" t="inlineStr">
        <is>
          <t>Daily Limit</t>
        </is>
      </c>
      <c r="F23" s="46" t="inlineStr">
        <is>
          <t>Utilisation</t>
        </is>
      </c>
      <c r="G23" s="31" t="n"/>
      <c r="H23" s="44" t="inlineStr">
        <is>
          <t>Completed</t>
        </is>
      </c>
      <c r="I23" s="44">
        <f>COUNTIF(Leads!O2:O1000,"COMPLETED")</f>
        <v/>
      </c>
      <c r="J23" s="31" t="n"/>
    </row>
    <row r="24">
      <c r="A24" s="50">
        <f>SUMPRODUCT(--(ActivityLog!A2:A1000&gt;=TODAY()),--(ActivityLog!A2:A1000&lt;TODAY()+1),--(ActivityLog!J2:J1000="SUCCESS"),--(((ActivityLog!D2:D1000="EMAIL_1")+(ActivityLog!D2:D1000="FOLLOWUP_1")+(ActivityLog!D2:D1000="FOLLOWUP_2")+(ActivityLog!D2:D1000="FOLLOWUP_3"))&gt;0))</f>
        <v/>
      </c>
      <c r="B24" s="50">
        <f>SUMPRODUCT(--(ActivityLog!A2:A1000&gt;=TODAY()-WEEKDAY(TODAY(),2)+1),--(ActivityLog!A2:A1000&lt;TODAY()+1),--(ActivityLog!J2:J1000="SUCCESS"),--(((ActivityLog!D2:D1000="EMAIL_1")+(ActivityLog!D2:D1000="FOLLOWUP_1")+(ActivityLog!D2:D1000="FOLLOWUP_2")+(ActivityLog!D2:D1000="FOLLOWUP_3"))&gt;0))</f>
        <v/>
      </c>
      <c r="C24" s="50">
        <f>MAX(0,50-A24)</f>
        <v/>
      </c>
      <c r="D24" s="50" t="inlineStr">
        <is>
          <t>-</t>
        </is>
      </c>
      <c r="E24" s="50">
        <f>Config!B3</f>
        <v/>
      </c>
      <c r="F24" s="51">
        <f>IFERROR(A24/E24,0)</f>
        <v/>
      </c>
      <c r="G24" s="31" t="n"/>
      <c r="H24" s="31" t="n"/>
      <c r="I24" s="31" t="n"/>
      <c r="J24" s="31" t="n"/>
    </row>
    <row r="25">
      <c r="A25" s="31" t="n"/>
      <c r="B25" s="31" t="n"/>
      <c r="C25" s="31" t="n"/>
      <c r="D25" s="31" t="n"/>
      <c r="E25" s="31" t="n"/>
      <c r="F25" s="31" t="n"/>
      <c r="G25" s="31" t="n"/>
      <c r="H25" s="31" t="n"/>
      <c r="I25" s="31" t="n"/>
      <c r="J25" s="31" t="n"/>
    </row>
    <row r="26">
      <c r="A26" s="26" t="inlineStr">
        <is>
          <t>RECENT ACTIVITY</t>
        </is>
      </c>
    </row>
    <row r="27" ht="21" customHeight="1" s="53">
      <c r="A27" s="42" t="inlineStr">
        <is>
          <t>Timestamp</t>
        </is>
      </c>
      <c r="B27" s="42" t="inlineStr">
        <is>
          <t>Email</t>
        </is>
      </c>
      <c r="C27" s="42" t="inlineStr">
        <is>
          <t>Action</t>
        </is>
      </c>
      <c r="D27" s="42" t="inlineStr">
        <is>
          <t>Campaign</t>
        </is>
      </c>
      <c r="E27" s="42" t="inlineStr">
        <is>
          <t>Service</t>
        </is>
      </c>
      <c r="F27" s="42" t="inlineStr">
        <is>
          <t>Status</t>
        </is>
      </c>
      <c r="G27" s="42" t="inlineStr">
        <is>
          <t>Result</t>
        </is>
      </c>
      <c r="H27" s="31" t="n"/>
      <c r="I27" s="31" t="n"/>
      <c r="J27" s="31" t="n"/>
    </row>
    <row r="28" ht="21" customHeight="1" s="53">
      <c r="A28" s="52">
        <f>IFERROR(__xludf.DUMMYFUNCTION("QUERY(ActivityLog!A2:K1000,""select A,C,D,E,F,G,J where A is not null order by A desc limit 10"",0)"),46233.76646680555)</f>
        <v/>
      </c>
      <c r="B28" s="31">
        <f>IFERROR(__xludf.DUMMYFUNCTION("""COMPUTED_VALUE"""),"forstuydy@gmail.com")</f>
        <v/>
      </c>
      <c r="C28" s="31">
        <f>IFERROR(__xludf.DUMMYFUNCTION("""COMPUTED_VALUE"""),"EMAIL_1")</f>
        <v/>
      </c>
      <c r="D28" s="31">
        <f>IFERROR(__xludf.DUMMYFUNCTION("""COMPUTED_VALUE"""),"Service 1")</f>
        <v/>
      </c>
      <c r="E28" s="31">
        <f>IFERROR(__xludf.DUMMYFUNCTION("""COMPUTED_VALUE"""),"Website Development")</f>
        <v/>
      </c>
      <c r="F28" s="31">
        <f>IFERROR(__xludf.DUMMYFUNCTION("""COMPUTED_VALUE"""),"EMAIL_1_SENT")</f>
        <v/>
      </c>
      <c r="G28" s="31">
        <f>IFERROR(__xludf.DUMMYFUNCTION("""COMPUTED_VALUE"""),"SUCCESS")</f>
        <v/>
      </c>
      <c r="H28" s="31" t="n"/>
      <c r="I28" s="31" t="n"/>
      <c r="J28" s="31" t="n"/>
    </row>
    <row r="29" ht="21" customHeight="1" s="53">
      <c r="A29" s="52">
        <f>IFERROR(__xludf.DUMMYFUNCTION("""COMPUTED_VALUE"""),46233.76638380787)</f>
        <v/>
      </c>
      <c r="B29" s="31">
        <f>IFERROR(__xludf.DUMMYFUNCTION("""COMPUTED_VALUE"""),"surajmukul08@gmail.com")</f>
        <v/>
      </c>
      <c r="C29" s="31">
        <f>IFERROR(__xludf.DUMMYFUNCTION("""COMPUTED_VALUE"""),"EMAIL_1")</f>
        <v/>
      </c>
      <c r="D29" s="31">
        <f>IFERROR(__xludf.DUMMYFUNCTION("""COMPUTED_VALUE"""),"Service 1")</f>
        <v/>
      </c>
      <c r="E29" s="31">
        <f>IFERROR(__xludf.DUMMYFUNCTION("""COMPUTED_VALUE"""),"Website Development")</f>
        <v/>
      </c>
      <c r="F29" s="31">
        <f>IFERROR(__xludf.DUMMYFUNCTION("""COMPUTED_VALUE"""),"EMAIL_1_SENT")</f>
        <v/>
      </c>
      <c r="G29" s="31">
        <f>IFERROR(__xludf.DUMMYFUNCTION("""COMPUTED_VALUE"""),"SUCCESS")</f>
        <v/>
      </c>
      <c r="H29" s="31" t="n"/>
      <c r="I29" s="31" t="n"/>
      <c r="J29" s="31" t="n"/>
    </row>
    <row r="30" ht="21" customHeight="1" s="53">
      <c r="A30" s="52">
        <f>IFERROR(__xludf.DUMMYFUNCTION("""COMPUTED_VALUE"""),46233.766294270834)</f>
        <v/>
      </c>
      <c r="B30" s="31">
        <f>IFERROR(__xludf.DUMMYFUNCTION("""COMPUTED_VALUE"""),"gympremium001@gmail.com")</f>
        <v/>
      </c>
      <c r="C30" s="31">
        <f>IFERROR(__xludf.DUMMYFUNCTION("""COMPUTED_VALUE"""),"EMAIL_1")</f>
        <v/>
      </c>
      <c r="D30" s="31">
        <f>IFERROR(__xludf.DUMMYFUNCTION("""COMPUTED_VALUE"""),"Service 1")</f>
        <v/>
      </c>
      <c r="E30" s="31">
        <f>IFERROR(__xludf.DUMMYFUNCTION("""COMPUTED_VALUE"""),"Website Development")</f>
        <v/>
      </c>
      <c r="F30" s="31">
        <f>IFERROR(__xludf.DUMMYFUNCTION("""COMPUTED_VALUE"""),"EMAIL_1_SENT")</f>
        <v/>
      </c>
      <c r="G30" s="31">
        <f>IFERROR(__xludf.DUMMYFUNCTION("""COMPUTED_VALUE"""),"SUCCESS")</f>
        <v/>
      </c>
      <c r="H30" s="31" t="n"/>
      <c r="I30" s="31" t="n"/>
      <c r="J30" s="31" t="n"/>
    </row>
    <row r="31" ht="21" customHeight="1" s="53">
      <c r="A31" s="52">
        <f>IFERROR(__xludf.DUMMYFUNCTION("""COMPUTED_VALUE"""),46233.76620121528)</f>
        <v/>
      </c>
      <c r="B31" s="31">
        <f>IFERROR(__xludf.DUMMYFUNCTION("""COMPUTED_VALUE"""),"muscelstation@gmail.com")</f>
        <v/>
      </c>
      <c r="C31" s="31">
        <f>IFERROR(__xludf.DUMMYFUNCTION("""COMPUTED_VALUE"""),"EMAIL_1")</f>
        <v/>
      </c>
      <c r="D31" s="31">
        <f>IFERROR(__xludf.DUMMYFUNCTION("""COMPUTED_VALUE"""),"Service 1")</f>
        <v/>
      </c>
      <c r="E31" s="31">
        <f>IFERROR(__xludf.DUMMYFUNCTION("""COMPUTED_VALUE"""),"Website Development")</f>
        <v/>
      </c>
      <c r="F31" s="31">
        <f>IFERROR(__xludf.DUMMYFUNCTION("""COMPUTED_VALUE"""),"EMAIL_1_SENT")</f>
        <v/>
      </c>
      <c r="G31" s="31">
        <f>IFERROR(__xludf.DUMMYFUNCTION("""COMPUTED_VALUE"""),"SUCCESS")</f>
        <v/>
      </c>
      <c r="H31" s="31" t="n"/>
      <c r="I31" s="31" t="n"/>
      <c r="J31" s="31" t="n"/>
    </row>
    <row r="32" ht="21" customHeight="1" s="53">
      <c r="A32" s="52">
        <f>IFERROR(__xludf.DUMMYFUNCTION("""COMPUTED_VALUE"""),46233.76612061342)</f>
        <v/>
      </c>
      <c r="B32" s="31">
        <f>IFERROR(__xludf.DUMMYFUNCTION("""COMPUTED_VALUE"""),"nddunidnuenei@gmail.com")</f>
        <v/>
      </c>
      <c r="C32" s="31">
        <f>IFERROR(__xludf.DUMMYFUNCTION("""COMPUTED_VALUE"""),"EMAIL_1")</f>
        <v/>
      </c>
      <c r="D32" s="31">
        <f>IFERROR(__xludf.DUMMYFUNCTION("""COMPUTED_VALUE"""),"Service 1")</f>
        <v/>
      </c>
      <c r="E32" s="31">
        <f>IFERROR(__xludf.DUMMYFUNCTION("""COMPUTED_VALUE"""),"Website Development")</f>
        <v/>
      </c>
      <c r="F32" s="31">
        <f>IFERROR(__xludf.DUMMYFUNCTION("""COMPUTED_VALUE"""),"EMAIL_1_SENT")</f>
        <v/>
      </c>
      <c r="G32" s="31">
        <f>IFERROR(__xludf.DUMMYFUNCTION("""COMPUTED_VALUE"""),"SUCCESS")</f>
        <v/>
      </c>
      <c r="H32" s="31" t="n"/>
      <c r="I32" s="31" t="n"/>
      <c r="J32" s="31" t="n"/>
    </row>
    <row r="33" ht="21" customHeight="1" s="53">
      <c r="A33" s="52">
        <f>IFERROR(__xludf.DUMMYFUNCTION("""COMPUTED_VALUE"""),46233.76602753473)</f>
        <v/>
      </c>
      <c r="B33" s="31">
        <f>IFERROR(__xludf.DUMMYFUNCTION("""COMPUTED_VALUE"""),"robuxcaedd@gmail.com")</f>
        <v/>
      </c>
      <c r="C33" s="31">
        <f>IFERROR(__xludf.DUMMYFUNCTION("""COMPUTED_VALUE"""),"EMAIL_1")</f>
        <v/>
      </c>
      <c r="D33" s="31">
        <f>IFERROR(__xludf.DUMMYFUNCTION("""COMPUTED_VALUE"""),"Service 1")</f>
        <v/>
      </c>
      <c r="E33" s="31">
        <f>IFERROR(__xludf.DUMMYFUNCTION("""COMPUTED_VALUE"""),"Website Development")</f>
        <v/>
      </c>
      <c r="F33" s="31">
        <f>IFERROR(__xludf.DUMMYFUNCTION("""COMPUTED_VALUE"""),"EMAIL_1_SENT")</f>
        <v/>
      </c>
      <c r="G33" s="31">
        <f>IFERROR(__xludf.DUMMYFUNCTION("""COMPUTED_VALUE"""),"SUCCESS")</f>
        <v/>
      </c>
      <c r="H33" s="31" t="n"/>
      <c r="I33" s="31" t="n"/>
      <c r="J33" s="31" t="n"/>
    </row>
    <row r="34" ht="21" customHeight="1" s="53">
      <c r="A34" s="52">
        <f>IFERROR(__xludf.DUMMYFUNCTION("""COMPUTED_VALUE"""),46233.76590712963)</f>
        <v/>
      </c>
      <c r="B34" s="31">
        <f>IFERROR(__xludf.DUMMYFUNCTION("""COMPUTED_VALUE"""),"pcshado01@gmail.com")</f>
        <v/>
      </c>
      <c r="C34" s="31">
        <f>IFERROR(__xludf.DUMMYFUNCTION("""COMPUTED_VALUE"""),"EMAIL_1")</f>
        <v/>
      </c>
      <c r="D34" s="31">
        <f>IFERROR(__xludf.DUMMYFUNCTION("""COMPUTED_VALUE"""),"Service 1")</f>
        <v/>
      </c>
      <c r="E34" s="31">
        <f>IFERROR(__xludf.DUMMYFUNCTION("""COMPUTED_VALUE"""),"Website Development")</f>
        <v/>
      </c>
      <c r="F34" s="31">
        <f>IFERROR(__xludf.DUMMYFUNCTION("""COMPUTED_VALUE"""),"EMAIL_1_SENT")</f>
        <v/>
      </c>
      <c r="G34" s="31">
        <f>IFERROR(__xludf.DUMMYFUNCTION("""COMPUTED_VALUE"""),"SUCCESS")</f>
        <v/>
      </c>
      <c r="H34" s="31" t="n"/>
      <c r="I34" s="31" t="n"/>
      <c r="J34" s="31" t="n"/>
    </row>
    <row r="35" ht="21" customHeight="1" s="53">
      <c r="A35" s="52">
        <f>IFERROR(__xludf.DUMMYFUNCTION("""COMPUTED_VALUE"""),46233.76584240741)</f>
        <v/>
      </c>
      <c r="B35" s="31">
        <f>IFERROR(__xludf.DUMMYFUNCTION("""COMPUTED_VALUE"""),"anshxname@gmail.com")</f>
        <v/>
      </c>
      <c r="C35" s="31">
        <f>IFERROR(__xludf.DUMMYFUNCTION("""COMPUTED_VALUE"""),"FOLLOWUP_1")</f>
        <v/>
      </c>
      <c r="D35" s="31">
        <f>IFERROR(__xludf.DUMMYFUNCTION("""COMPUTED_VALUE"""),"Service 1")</f>
        <v/>
      </c>
      <c r="E35" s="31">
        <f>IFERROR(__xludf.DUMMYFUNCTION("""COMPUTED_VALUE"""),"Website Development")</f>
        <v/>
      </c>
      <c r="F35" s="31">
        <f>IFERROR(__xludf.DUMMYFUNCTION("""COMPUTED_VALUE"""),"FOLLOWUP_1_SENT")</f>
        <v/>
      </c>
      <c r="G35" s="31">
        <f>IFERROR(__xludf.DUMMYFUNCTION("""COMPUTED_VALUE"""),"SUCCESS")</f>
        <v/>
      </c>
      <c r="H35" s="31" t="n"/>
      <c r="I35" s="31" t="n"/>
      <c r="J35" s="31" t="n"/>
    </row>
    <row r="36" ht="21" customHeight="1" s="53">
      <c r="A36" s="52">
        <f>IFERROR(__xludf.DUMMYFUNCTION("""COMPUTED_VALUE"""),46233.76577886574)</f>
        <v/>
      </c>
      <c r="B36" s="31">
        <f>IFERROR(__xludf.DUMMYFUNCTION("""COMPUTED_VALUE"""),"forhek496@gmail.com")</f>
        <v/>
      </c>
      <c r="C36" s="31">
        <f>IFERROR(__xludf.DUMMYFUNCTION("""COMPUTED_VALUE"""),"FOLLOWUP_1")</f>
        <v/>
      </c>
      <c r="D36" s="31">
        <f>IFERROR(__xludf.DUMMYFUNCTION("""COMPUTED_VALUE"""),"Service 1")</f>
        <v/>
      </c>
      <c r="E36" s="31">
        <f>IFERROR(__xludf.DUMMYFUNCTION("""COMPUTED_VALUE"""),"Website Development")</f>
        <v/>
      </c>
      <c r="F36" s="31">
        <f>IFERROR(__xludf.DUMMYFUNCTION("""COMPUTED_VALUE"""),"FOLLOWUP_1_SENT")</f>
        <v/>
      </c>
      <c r="G36" s="31">
        <f>IFERROR(__xludf.DUMMYFUNCTION("""COMPUTED_VALUE"""),"SUCCESS")</f>
        <v/>
      </c>
      <c r="H36" s="31" t="n"/>
      <c r="I36" s="31" t="n"/>
      <c r="J36" s="31" t="n"/>
    </row>
    <row r="37" ht="21" customHeight="1" s="53">
      <c r="A37" s="52">
        <f>IFERROR(__xludf.DUMMYFUNCTION("""COMPUTED_VALUE"""),46233.765712465276)</f>
        <v/>
      </c>
      <c r="B37" s="31">
        <f>IFERROR(__xludf.DUMMYFUNCTION("""COMPUTED_VALUE"""),"kartikdynamisers@gmail.com")</f>
        <v/>
      </c>
      <c r="C37" s="31">
        <f>IFERROR(__xludf.DUMMYFUNCTION("""COMPUTED_VALUE"""),"FOLLOWUP_1")</f>
        <v/>
      </c>
      <c r="D37" s="31">
        <f>IFERROR(__xludf.DUMMYFUNCTION("""COMPUTED_VALUE"""),"Service 1")</f>
        <v/>
      </c>
      <c r="E37" s="31">
        <f>IFERROR(__xludf.DUMMYFUNCTION("""COMPUTED_VALUE"""),"Website Development")</f>
        <v/>
      </c>
      <c r="F37" s="31">
        <f>IFERROR(__xludf.DUMMYFUNCTION("""COMPUTED_VALUE"""),"FOLLOWUP_1_SENT")</f>
        <v/>
      </c>
      <c r="G37" s="31">
        <f>IFERROR(__xludf.DUMMYFUNCTION("""COMPUTED_VALUE"""),"SUCCESS")</f>
        <v/>
      </c>
      <c r="H37" s="31" t="n"/>
      <c r="I37" s="31" t="n"/>
      <c r="J37" s="31" t="n"/>
    </row>
    <row r="38" ht="21" customHeight="1" s="53">
      <c r="A38" s="31" t="n"/>
      <c r="B38" s="31" t="n"/>
      <c r="C38" s="31" t="n"/>
      <c r="D38" s="31" t="n"/>
      <c r="E38" s="31" t="n"/>
      <c r="F38" s="31" t="n"/>
      <c r="G38" s="31" t="n"/>
      <c r="H38" s="31" t="n"/>
      <c r="I38" s="31" t="n"/>
      <c r="J38" s="31" t="n"/>
    </row>
    <row r="39">
      <c r="A39" s="31" t="n"/>
      <c r="B39" s="31" t="n"/>
      <c r="C39" s="31" t="n"/>
      <c r="D39" s="31" t="n"/>
      <c r="E39" s="31" t="n"/>
      <c r="F39" s="31" t="n"/>
      <c r="G39" s="31" t="n"/>
      <c r="H39" s="31" t="n"/>
      <c r="I39" s="31" t="n"/>
      <c r="J39" s="31" t="n"/>
    </row>
    <row r="40">
      <c r="A40" s="31" t="n"/>
      <c r="B40" s="31" t="n"/>
      <c r="C40" s="31" t="n"/>
      <c r="D40" s="31" t="n"/>
      <c r="E40" s="31" t="n"/>
      <c r="F40" s="31" t="n"/>
      <c r="G40" s="31" t="n"/>
      <c r="H40" s="31" t="n"/>
      <c r="I40" s="31" t="n"/>
      <c r="J40" s="31" t="n"/>
    </row>
    <row r="41">
      <c r="A41" s="31" t="n"/>
      <c r="B41" s="31" t="n"/>
      <c r="C41" s="31" t="n"/>
      <c r="D41" s="31" t="n"/>
      <c r="E41" s="31" t="n"/>
      <c r="F41" s="31" t="n"/>
      <c r="G41" s="31" t="n"/>
      <c r="H41" s="31" t="n"/>
      <c r="I41" s="31" t="n"/>
      <c r="J41" s="31" t="n"/>
    </row>
    <row r="42">
      <c r="A42" s="31" t="n"/>
      <c r="B42" s="31" t="n"/>
      <c r="C42" s="31" t="n"/>
      <c r="D42" s="31" t="n"/>
      <c r="E42" s="31" t="n"/>
      <c r="F42" s="31" t="n"/>
      <c r="G42" s="31" t="n"/>
      <c r="H42" s="31" t="n"/>
      <c r="I42" s="31" t="n"/>
      <c r="J42" s="31" t="n"/>
    </row>
    <row r="43">
      <c r="A43" s="31" t="n"/>
      <c r="B43" s="31" t="n"/>
      <c r="C43" s="31" t="n"/>
      <c r="D43" s="31" t="n"/>
      <c r="E43" s="31" t="n"/>
      <c r="F43" s="31" t="n"/>
      <c r="G43" s="31" t="n"/>
      <c r="H43" s="31" t="n"/>
      <c r="I43" s="31" t="n"/>
      <c r="J43" s="31" t="n"/>
    </row>
    <row r="44">
      <c r="A44" s="31" t="n"/>
      <c r="B44" s="31" t="n"/>
      <c r="C44" s="31" t="n"/>
      <c r="D44" s="31" t="n"/>
      <c r="E44" s="31" t="n"/>
      <c r="F44" s="31" t="n"/>
      <c r="G44" s="31" t="n"/>
      <c r="H44" s="31" t="n"/>
      <c r="I44" s="31" t="n"/>
      <c r="J44" s="31" t="n"/>
    </row>
    <row r="45">
      <c r="A45" s="31" t="n"/>
      <c r="B45" s="31" t="n"/>
      <c r="C45" s="31" t="n"/>
      <c r="D45" s="31" t="n"/>
      <c r="E45" s="31" t="n"/>
      <c r="F45" s="31" t="n"/>
      <c r="G45" s="31" t="n"/>
      <c r="H45" s="31" t="n"/>
      <c r="I45" s="31" t="n"/>
      <c r="J45" s="31" t="n"/>
    </row>
    <row r="46">
      <c r="A46" s="31" t="n"/>
      <c r="B46" s="31" t="n"/>
      <c r="C46" s="31" t="n"/>
      <c r="D46" s="31" t="n"/>
      <c r="E46" s="31" t="n"/>
      <c r="F46" s="31" t="n"/>
      <c r="G46" s="31" t="n"/>
      <c r="H46" s="31" t="n"/>
      <c r="I46" s="31" t="n"/>
      <c r="J46" s="31" t="n"/>
    </row>
    <row r="47">
      <c r="A47" s="31" t="n"/>
      <c r="B47" s="31" t="n"/>
      <c r="C47" s="31" t="n"/>
      <c r="D47" s="31" t="n"/>
      <c r="E47" s="31" t="n"/>
      <c r="F47" s="31" t="n"/>
      <c r="G47" s="31" t="n"/>
      <c r="H47" s="31" t="n"/>
      <c r="I47" s="31" t="n"/>
      <c r="J47" s="31" t="n"/>
    </row>
    <row r="48">
      <c r="A48" s="31" t="n"/>
      <c r="B48" s="31" t="n"/>
      <c r="C48" s="31" t="n"/>
      <c r="D48" s="31" t="n"/>
      <c r="E48" s="31" t="n"/>
      <c r="F48" s="31" t="n"/>
      <c r="G48" s="31" t="n"/>
      <c r="H48" s="31" t="n"/>
      <c r="I48" s="31" t="n"/>
      <c r="J48" s="31" t="n"/>
    </row>
    <row r="49">
      <c r="A49" s="31" t="n"/>
      <c r="B49" s="31" t="n"/>
      <c r="C49" s="31" t="n"/>
      <c r="D49" s="31" t="n"/>
      <c r="E49" s="31" t="n"/>
      <c r="F49" s="31" t="n"/>
      <c r="G49" s="31" t="n"/>
      <c r="H49" s="31" t="n"/>
      <c r="I49" s="31" t="n"/>
      <c r="J49" s="31" t="n"/>
    </row>
    <row r="50">
      <c r="A50" s="31" t="n"/>
      <c r="B50" s="31" t="n"/>
      <c r="C50" s="31" t="n"/>
      <c r="D50" s="31" t="n"/>
      <c r="E50" s="31" t="n"/>
      <c r="F50" s="31" t="n"/>
      <c r="G50" s="31" t="n"/>
      <c r="H50" s="31" t="n"/>
      <c r="I50" s="31" t="n"/>
      <c r="J50" s="31" t="n"/>
    </row>
  </sheetData>
  <mergeCells count="6">
    <mergeCell ref="H15:J15"/>
    <mergeCell ref="A1:J2"/>
    <mergeCell ref="A3:J3"/>
    <mergeCell ref="A22:F22"/>
    <mergeCell ref="A26:J26"/>
    <mergeCell ref="A15:F15"/>
  </mergeCells>
  <conditionalFormatting sqref="B6 D6 F6 H6">
    <cfRule type="cellIs" priority="1" operator="equal" dxfId="5" stopIfTrue="1">
      <formula>"ON"</formula>
    </cfRule>
    <cfRule type="cellIs" priority="2" operator="equal" dxfId="6" stopIfTrue="1">
      <formula>"OFF"</formula>
    </cfRule>
  </conditionalFormatting>
  <conditionalFormatting sqref="G28:G47">
    <cfRule type="cellIs" priority="3" operator="equal" dxfId="5" stopIfTrue="1">
      <formula>"SUCCESS"</formula>
    </cfRule>
    <cfRule type="cellIs" priority="4" operator="equal" dxfId="6" stopIfTrue="1">
      <formula>"FAILED"</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2026-07-31T07:11:42Z</dcterms:created>
  <dcterms:modified xsi:type="dcterms:W3CDTF">2026-07-31T07:11:43Z</dcterms:modified>
</cp:coreProperties>
</file>